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측정대장" sheetId="2" state="visible" r:id="rId4"/>
    <sheet name="효율측정" sheetId="3" state="visible" r:id="rId5"/>
    <sheet name="시험이력" sheetId="4" state="visible" r:id="rId6"/>
    <sheet name="요약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<sst xmlns="http://schemas.openxmlformats.org/spreadsheetml/2006/main" count="372" uniqueCount="281">
  <si>
    <t xml:space="preserve">마이크로인버터 V1200 측정 대장 — 사용 안내</t>
  </si>
  <si>
    <r>
      <rPr>
        <b val="true"/>
        <sz val="12"/>
        <rFont val="Malgun Gothic"/>
        <family val="0"/>
        <charset val="1"/>
      </rPr>
      <t xml:space="preserve">1. </t>
    </r>
    <r>
      <rPr>
        <b val="true"/>
        <sz val="12"/>
        <rFont val="WenQuanYi Zen Hei"/>
        <family val="2"/>
      </rPr>
      <t xml:space="preserve">시트 구성</t>
    </r>
  </si>
  <si>
    <t xml:space="preserve">측정대장</t>
  </si>
  <si>
    <r>
      <rPr>
        <sz val="10"/>
        <rFont val="Malgun Gothic"/>
        <family val="0"/>
        <charset val="1"/>
      </rPr>
      <t xml:space="preserve">31</t>
    </r>
    <r>
      <rPr>
        <sz val="10"/>
        <rFont val="WenQuanYi Zen Hei"/>
        <family val="2"/>
      </rPr>
      <t xml:space="preserve">개 제품시험 항목의 기준값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실측값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판정 기록</t>
    </r>
    <r>
      <rPr>
        <sz val="10"/>
        <rFont val="Malgun Gothic"/>
        <family val="0"/>
        <charset val="1"/>
      </rPr>
      <t xml:space="preserve">. </t>
    </r>
    <r>
      <rPr>
        <sz val="10"/>
        <rFont val="WenQuanYi Zen Hei"/>
        <family val="2"/>
      </rPr>
      <t xml:space="preserve">주 작업 시트</t>
    </r>
  </si>
  <si>
    <t xml:space="preserve">효율측정</t>
  </si>
  <si>
    <r>
      <rPr>
        <sz val="10"/>
        <rFont val="Malgun Gothic"/>
        <family val="0"/>
        <charset val="1"/>
      </rPr>
      <t xml:space="preserve">IEC 61683 / EN 50530 </t>
    </r>
    <r>
      <rPr>
        <sz val="10"/>
        <rFont val="WenQuanYi Zen Hei"/>
        <family val="2"/>
      </rPr>
      <t xml:space="preserve">출력레벨별 효율 및 </t>
    </r>
    <r>
      <rPr>
        <sz val="10"/>
        <rFont val="Malgun Gothic"/>
        <family val="0"/>
        <charset val="1"/>
      </rPr>
      <t xml:space="preserve">EU·CEC </t>
    </r>
    <r>
      <rPr>
        <sz val="10"/>
        <rFont val="WenQuanYi Zen Hei"/>
        <family val="2"/>
      </rPr>
      <t xml:space="preserve">가중효율 자동 산출</t>
    </r>
  </si>
  <si>
    <t xml:space="preserve">시험이력</t>
  </si>
  <si>
    <t xml:space="preserve">시험 세션별 조건 기록 (시료 S/N, 펌웨어 버전, 주위환경, 계측기 교정일)</t>
  </si>
  <si>
    <t xml:space="preserve">요약</t>
  </si>
  <si>
    <t xml:space="preserve">결함구분별 판정 집계</t>
  </si>
  <si>
    <r>
      <rPr>
        <b val="true"/>
        <sz val="12"/>
        <rFont val="Malgun Gothic"/>
        <family val="0"/>
        <charset val="1"/>
      </rPr>
      <t xml:space="preserve">2. </t>
    </r>
    <r>
      <rPr>
        <b val="true"/>
        <sz val="12"/>
        <rFont val="WenQuanYi Zen Hei"/>
        <family val="2"/>
      </rPr>
      <t xml:space="preserve">입력 규칙</t>
    </r>
  </si>
  <si>
    <t xml:space="preserve">노란색 칸</t>
  </si>
  <si>
    <t xml:space="preserve">사용자가 입력하는 칸 — 기준값 / 실측값 / 기능판정 / 비고</t>
  </si>
  <si>
    <t xml:space="preserve">파란 글씨</t>
  </si>
  <si>
    <t xml:space="preserve">입력값 (하드코딩)</t>
  </si>
  <si>
    <t xml:space="preserve">검정 글씨</t>
  </si>
  <si>
    <t xml:space="preserve">수식 자동 계산 — 덮어쓰지 마십시오</t>
  </si>
  <si>
    <r>
      <rPr>
        <b val="true"/>
        <sz val="12"/>
        <rFont val="Malgun Gothic"/>
        <family val="0"/>
        <charset val="1"/>
      </rPr>
      <t xml:space="preserve">3. </t>
    </r>
    <r>
      <rPr>
        <b val="true"/>
        <sz val="12"/>
        <rFont val="WenQuanYi Zen Hei"/>
        <family val="2"/>
      </rPr>
      <t xml:space="preserve">판정방향 코드</t>
    </r>
  </si>
  <si>
    <t xml:space="preserve">이상</t>
  </si>
  <si>
    <t xml:space="preserve">실측값이 기준값 이상이면 합격 (예: 절연저항, 효율, MPPT)</t>
  </si>
  <si>
    <t xml:space="preserve">이하</t>
  </si>
  <si>
    <t xml:space="preserve">실측값이 기준값 이하이면 합격 (예: THD, 누설전류, DC분, 트립시간)</t>
  </si>
  <si>
    <t xml:space="preserve">양부</t>
  </si>
  <si>
    <t xml:space="preserve">수치 판정이 아닌 항목 — '기능판정' 칸에 합격/불합격 직접 입력</t>
  </si>
  <si>
    <r>
      <rPr>
        <b val="true"/>
        <sz val="12"/>
        <rFont val="Malgun Gothic"/>
        <family val="0"/>
        <charset val="1"/>
      </rPr>
      <t xml:space="preserve">4. </t>
    </r>
    <r>
      <rPr>
        <b val="true"/>
        <sz val="12"/>
        <rFont val="WenQuanYi Zen Hei"/>
        <family val="2"/>
      </rPr>
      <t xml:space="preserve">입력 예시 </t>
    </r>
    <r>
      <rPr>
        <b val="true"/>
        <sz val="12"/>
        <rFont val="Malgun Gothic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아래는 형식 예시일 뿐</t>
    </r>
    <r>
      <rPr>
        <b val="true"/>
        <sz val="12"/>
        <rFont val="Malgun Gothic"/>
        <family val="0"/>
        <charset val="1"/>
      </rPr>
      <t xml:space="preserve">, </t>
    </r>
    <r>
      <rPr>
        <b val="true"/>
        <sz val="12"/>
        <rFont val="WenQuanYi Zen Hei"/>
        <family val="2"/>
      </rPr>
      <t xml:space="preserve">실제 기준값이 아닙니다</t>
    </r>
    <r>
      <rPr>
        <b val="true"/>
        <sz val="12"/>
        <rFont val="Malgun Gothic"/>
        <family val="0"/>
        <charset val="1"/>
      </rPr>
      <t xml:space="preserve">)</t>
    </r>
  </si>
  <si>
    <t xml:space="preserve">번호</t>
  </si>
  <si>
    <t xml:space="preserve">검사항목</t>
  </si>
  <si>
    <t xml:space="preserve">판정방향</t>
  </si>
  <si>
    <t xml:space="preserve">기준값</t>
  </si>
  <si>
    <t xml:space="preserve">실측값</t>
  </si>
  <si>
    <t xml:space="preserve">기능판정</t>
  </si>
  <si>
    <t xml:space="preserve">마진</t>
  </si>
  <si>
    <t xml:space="preserve">최종판정</t>
  </si>
  <si>
    <t xml:space="preserve">교류 출력전류 변형률</t>
  </si>
  <si>
    <t xml:space="preserve">합격</t>
  </si>
  <si>
    <t xml:space="preserve">절연저항</t>
  </si>
  <si>
    <t xml:space="preserve">출력측 단락</t>
  </si>
  <si>
    <t xml:space="preserve">※ 예시의 기준값(THD 5 %, 절연저항 1 MΩ)은 KS C 8560:2020 원문 값이며, 실측값은 가상의 예시입니다.</t>
  </si>
  <si>
    <r>
      <rPr>
        <b val="true"/>
        <sz val="12"/>
        <rFont val="Malgun Gothic"/>
        <family val="0"/>
        <charset val="1"/>
      </rPr>
      <t xml:space="preserve">5. </t>
    </r>
    <r>
      <rPr>
        <b val="true"/>
        <sz val="12"/>
        <rFont val="WenQuanYi Zen Hei"/>
        <family val="2"/>
      </rPr>
      <t xml:space="preserve">채우려면 필요한 자료</t>
    </r>
  </si>
  <si>
    <r>
      <rPr>
        <sz val="10"/>
        <rFont val="Malgun Gothic"/>
        <family val="0"/>
        <charset val="1"/>
      </rPr>
      <t xml:space="preserve">• KS</t>
    </r>
    <r>
      <rPr>
        <sz val="10"/>
        <rFont val="WenQuanYi Zen Hei"/>
        <family val="2"/>
      </rPr>
      <t xml:space="preserve">인증심사기준 본문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시험조건</t>
    </r>
    <r>
      <rPr>
        <sz val="10"/>
        <rFont val="Malgun Gothic"/>
        <family val="0"/>
        <charset val="1"/>
      </rPr>
      <t xml:space="preserve">·</t>
    </r>
    <r>
      <rPr>
        <sz val="10"/>
        <rFont val="WenQuanYi Zen Hei"/>
        <family val="2"/>
      </rPr>
      <t xml:space="preserve">판정기준</t>
    </r>
    <r>
      <rPr>
        <sz val="10"/>
        <rFont val="Malgun Gothic"/>
        <family val="0"/>
        <charset val="1"/>
      </rPr>
      <t xml:space="preserve">) → '</t>
    </r>
    <r>
      <rPr>
        <sz val="10"/>
        <rFont val="WenQuanYi Zen Hei"/>
        <family val="2"/>
      </rPr>
      <t xml:space="preserve">기준값</t>
    </r>
    <r>
      <rPr>
        <sz val="10"/>
        <rFont val="Malgun Gothic"/>
        <family val="0"/>
        <charset val="1"/>
      </rPr>
      <t xml:space="preserve">' </t>
    </r>
    <r>
      <rPr>
        <sz val="10"/>
        <rFont val="WenQuanYi Zen Hei"/>
        <family val="2"/>
      </rPr>
      <t xml:space="preserve">칸 전체</t>
    </r>
  </si>
  <si>
    <t xml:space="preserve">• 기존 시험성적서 → '실측값' 칸, 현재 마진 산출</t>
  </si>
  <si>
    <t xml:space="preserve">• 보유 계측기 목록·교정성적서 → 측정 불확도 적합성 판정</t>
  </si>
  <si>
    <r>
      <rPr>
        <sz val="10"/>
        <rFont val="Malgun Gothic"/>
        <family val="0"/>
        <charset val="1"/>
      </rPr>
      <t xml:space="preserve">• V1200 </t>
    </r>
    <r>
      <rPr>
        <sz val="10"/>
        <rFont val="WenQuanYi Zen Hei"/>
        <family val="2"/>
      </rPr>
      <t xml:space="preserve">정격 사양 → 정격 의존 항목의 절대 한계값 </t>
    </r>
    <r>
      <rPr>
        <sz val="10"/>
        <rFont val="Malgun Gothic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Malgun Gothic"/>
        <family val="0"/>
        <charset val="1"/>
      </rPr>
      <t xml:space="preserve">: 18</t>
    </r>
    <r>
      <rPr>
        <sz val="10"/>
        <rFont val="WenQuanYi Zen Hei"/>
        <family val="2"/>
      </rPr>
      <t xml:space="preserve">번 </t>
    </r>
    <r>
      <rPr>
        <sz val="10"/>
        <rFont val="Malgun Gothic"/>
        <family val="0"/>
        <charset val="1"/>
      </rPr>
      <t xml:space="preserve">DC</t>
    </r>
    <r>
      <rPr>
        <sz val="10"/>
        <rFont val="WenQuanYi Zen Hei"/>
        <family val="2"/>
      </rPr>
      <t xml:space="preserve">분 </t>
    </r>
    <r>
      <rPr>
        <sz val="10"/>
        <rFont val="Malgun Gothic"/>
        <family val="0"/>
        <charset val="1"/>
      </rPr>
      <t xml:space="preserve">mA </t>
    </r>
    <r>
      <rPr>
        <sz val="10"/>
        <rFont val="WenQuanYi Zen Hei"/>
        <family val="2"/>
      </rPr>
      <t xml:space="preserve">환산</t>
    </r>
    <r>
      <rPr>
        <sz val="10"/>
        <rFont val="Malgun Gothic"/>
        <family val="0"/>
        <charset val="1"/>
      </rPr>
      <t xml:space="preserve">)</t>
    </r>
  </si>
  <si>
    <t xml:space="preserve">마이크로인버터 V1200 — 제품시험 측정 대장 (31항목)</t>
  </si>
  <si>
    <t xml:space="preserve">노란색 칸만 입력하십시오 (기준값 / 실측값 / 기능판정). 마진·최종판정은 자동 계산됩니다.  기준값·L열은 KS C 8560:2020 원문으로 채웠습니다(2026-09-29). 5번 기준값은 OVC III 강화절연 가정입니다.</t>
  </si>
  <si>
    <t xml:space="preserve">결함구분</t>
  </si>
  <si>
    <t xml:space="preserve">측정량</t>
  </si>
  <si>
    <t xml:space="preserve">단위</t>
  </si>
  <si>
    <t xml:space="preserve">KS C 8560:2020 기준 (원문)</t>
  </si>
  <si>
    <t xml:space="preserve">측정조건</t>
  </si>
  <si>
    <t xml:space="preserve">계측기</t>
  </si>
  <si>
    <t xml:space="preserve">비고</t>
  </si>
  <si>
    <t xml:space="preserve">구조 시험</t>
  </si>
  <si>
    <t xml:space="preserve">경결함</t>
  </si>
  <si>
    <t xml:space="preserve">외관·치수·질량·표시사항</t>
  </si>
  <si>
    <r>
      <rPr>
        <sz val="9"/>
        <rFont val="Malgun Gothic"/>
        <family val="0"/>
        <charset val="1"/>
      </rPr>
      <t xml:space="preserve">mm / kg / </t>
    </r>
    <r>
      <rPr>
        <sz val="9"/>
        <rFont val="WenQuanYi Zen Hei"/>
        <family val="2"/>
      </rPr>
      <t xml:space="preserve">양부</t>
    </r>
  </si>
  <si>
    <r>
      <rPr>
        <sz val="9"/>
        <rFont val="Malgun Gothic"/>
        <family val="0"/>
        <charset val="1"/>
      </rPr>
      <t xml:space="preserve">KS C 8536 9</t>
    </r>
    <r>
      <rPr>
        <sz val="9"/>
        <rFont val="WenQuanYi Zen Hei"/>
        <family val="2"/>
      </rPr>
      <t xml:space="preserve">절 </t>
    </r>
    <r>
      <rPr>
        <sz val="9"/>
        <rFont val="Malgun Gothic"/>
        <family val="0"/>
        <charset val="1"/>
      </rPr>
      <t xml:space="preserve">a)b)c)d) </t>
    </r>
    <r>
      <rPr>
        <sz val="9"/>
        <rFont val="WenQuanYi Zen Hei"/>
        <family val="2"/>
      </rPr>
      <t xml:space="preserve">구조 </t>
    </r>
    <r>
      <rPr>
        <sz val="9"/>
        <rFont val="Malgun Gothic"/>
        <family val="0"/>
        <charset val="1"/>
      </rPr>
      <t xml:space="preserve">+ </t>
    </r>
    <r>
      <rPr>
        <sz val="9"/>
        <rFont val="WenQuanYi Zen Hei"/>
        <family val="2"/>
      </rPr>
      <t xml:space="preserve">출력 전력</t>
    </r>
    <r>
      <rPr>
        <sz val="9"/>
        <rFont val="Malgun Gothic"/>
        <family val="0"/>
        <charset val="1"/>
      </rPr>
      <t xml:space="preserve">·</t>
    </r>
    <r>
      <rPr>
        <sz val="9"/>
        <rFont val="WenQuanYi Zen Hei"/>
        <family val="2"/>
      </rPr>
      <t xml:space="preserve">전압</t>
    </r>
    <r>
      <rPr>
        <sz val="9"/>
        <rFont val="Malgun Gothic"/>
        <family val="0"/>
        <charset val="1"/>
      </rPr>
      <t xml:space="preserve">·</t>
    </r>
    <r>
      <rPr>
        <sz val="9"/>
        <rFont val="WenQuanYi Zen Hei"/>
        <family val="2"/>
      </rPr>
      <t xml:space="preserve">전류 표시 오차 </t>
    </r>
    <r>
      <rPr>
        <sz val="9"/>
        <rFont val="Malgun Gothic"/>
        <family val="0"/>
        <charset val="1"/>
      </rPr>
      <t xml:space="preserve">3 % </t>
    </r>
    <r>
      <rPr>
        <sz val="9"/>
        <rFont val="WenQuanYi Zen Hei"/>
        <family val="2"/>
      </rPr>
      <t xml:space="preserve">이내 </t>
    </r>
    <r>
      <rPr>
        <sz val="9"/>
        <rFont val="Malgun Gothic"/>
        <family val="0"/>
        <charset val="1"/>
      </rPr>
      <t xml:space="preserve">(8.2.2)</t>
    </r>
  </si>
  <si>
    <t xml:space="preserve">도면·사양서 대조</t>
  </si>
  <si>
    <t xml:space="preserve">캘리퍼스, 저울, 육안</t>
  </si>
  <si>
    <t xml:space="preserve">절연저항 시험</t>
  </si>
  <si>
    <t xml:space="preserve">치명결함</t>
  </si>
  <si>
    <t xml:space="preserve">MΩ</t>
  </si>
  <si>
    <t xml:space="preserve">정격 300 V 미만 DC 500 V(300~600 V는 1 000 V) 메거, 1 MΩ 이상 (8.3.1). 바리스터·Y-CAP·서지보호부품 제거 가능</t>
  </si>
  <si>
    <r>
      <rPr>
        <sz val="9"/>
        <rFont val="Malgun Gothic"/>
        <family val="0"/>
        <charset val="1"/>
      </rPr>
      <t xml:space="preserve">DC 500V </t>
    </r>
    <r>
      <rPr>
        <sz val="9"/>
        <rFont val="WenQuanYi Zen Hei"/>
        <family val="2"/>
      </rPr>
      <t xml:space="preserve">인가</t>
    </r>
    <r>
      <rPr>
        <sz val="9"/>
        <rFont val="Malgun Gothic"/>
        <family val="0"/>
        <charset val="1"/>
      </rPr>
      <t xml:space="preserve">. </t>
    </r>
    <r>
      <rPr>
        <sz val="9"/>
        <rFont val="WenQuanYi Zen Hei"/>
        <family val="2"/>
      </rPr>
      <t xml:space="preserve">개소</t>
    </r>
    <r>
      <rPr>
        <sz val="9"/>
        <rFont val="Malgun Gothic"/>
        <family val="0"/>
        <charset val="1"/>
      </rPr>
      <t xml:space="preserve">: PV-</t>
    </r>
    <r>
      <rPr>
        <sz val="9"/>
        <rFont val="WenQuanYi Zen Hei"/>
        <family val="2"/>
      </rPr>
      <t xml:space="preserve">외함 </t>
    </r>
    <r>
      <rPr>
        <sz val="9"/>
        <rFont val="Malgun Gothic"/>
        <family val="0"/>
        <charset val="1"/>
      </rPr>
      <t xml:space="preserve">/ AC-</t>
    </r>
    <r>
      <rPr>
        <sz val="9"/>
        <rFont val="WenQuanYi Zen Hei"/>
        <family val="2"/>
      </rPr>
      <t xml:space="preserve">외함 </t>
    </r>
    <r>
      <rPr>
        <sz val="9"/>
        <rFont val="Malgun Gothic"/>
        <family val="0"/>
        <charset val="1"/>
      </rPr>
      <t xml:space="preserve">/ PV-AC</t>
    </r>
  </si>
  <si>
    <t xml:space="preserve">절연저항계(메거)</t>
  </si>
  <si>
    <t xml:space="preserve">내전압 시험</t>
  </si>
  <si>
    <t xml:space="preserve">절연파괴·섬락 유무</t>
  </si>
  <si>
    <t xml:space="preserve">양부 (mA)</t>
  </si>
  <si>
    <t xml:space="preserve">입력: (최대개방전압 + 1 200) Vrms, 출력: (동작전압 + 1 200) Vrms, 상용주파 1분 — 운전 성능 이상 없을 것 (8.3.2)</t>
  </si>
  <si>
    <t xml:space="preserve">규정 AC전압 1분간. 개소 2번과 동일</t>
  </si>
  <si>
    <t xml:space="preserve">내전압시험기(Hi-pot)</t>
  </si>
  <si>
    <r>
      <rPr>
        <sz val="9"/>
        <color rgb="FFC00000"/>
        <rFont val="Malgun Gothic"/>
        <family val="0"/>
        <charset val="1"/>
      </rPr>
      <t xml:space="preserve">V2000 </t>
    </r>
    <r>
      <rPr>
        <sz val="9"/>
        <color rgb="FFC00000"/>
        <rFont val="WenQuanYi Zen Hei"/>
        <family val="2"/>
      </rPr>
      <t xml:space="preserve">설계검토</t>
    </r>
    <r>
      <rPr>
        <sz val="9"/>
        <color rgb="FFC00000"/>
        <rFont val="Malgun Gothic"/>
        <family val="0"/>
        <charset val="1"/>
      </rPr>
      <t xml:space="preserve">: V1 0.2 mm </t>
    </r>
    <r>
      <rPr>
        <sz val="9"/>
        <color rgb="FFC00000"/>
        <rFont val="WenQuanYi Zen Hei"/>
        <family val="2"/>
      </rPr>
      <t xml:space="preserve">간극에 약 </t>
    </r>
    <r>
      <rPr>
        <sz val="9"/>
        <color rgb="FFC00000"/>
        <rFont val="Malgun Gothic"/>
        <family val="0"/>
        <charset val="1"/>
      </rPr>
      <t xml:space="preserve">0.5 kVrms </t>
    </r>
    <r>
      <rPr>
        <sz val="9"/>
        <color rgb="FFC00000"/>
        <rFont val="WenQuanYi Zen Hei"/>
        <family val="2"/>
      </rPr>
      <t xml:space="preserve">분압 추정 — 여유 없음</t>
    </r>
  </si>
  <si>
    <t xml:space="preserve">감전 보호 시험</t>
  </si>
  <si>
    <t xml:space="preserve">접촉전류 / 보호도체전류 / 접지연속성 / 잔류전압</t>
  </si>
  <si>
    <t xml:space="preserve">mA / mΩ / V</t>
  </si>
  <si>
    <r>
      <rPr>
        <sz val="9"/>
        <rFont val="Malgun Gothic"/>
        <family val="0"/>
        <charset val="1"/>
      </rPr>
      <t xml:space="preserve">KS C IEC 61032 </t>
    </r>
    <r>
      <rPr>
        <sz val="9"/>
        <rFont val="WenQuanYi Zen Hei"/>
        <family val="2"/>
      </rPr>
      <t xml:space="preserve">시험손가락</t>
    </r>
    <r>
      <rPr>
        <sz val="9"/>
        <rFont val="Malgun Gothic"/>
        <family val="0"/>
        <charset val="1"/>
      </rPr>
      <t xml:space="preserve">(30 N)·</t>
    </r>
    <r>
      <rPr>
        <sz val="9"/>
        <rFont val="WenQuanYi Zen Hei"/>
        <family val="2"/>
      </rPr>
      <t xml:space="preserve">핀</t>
    </r>
    <r>
      <rPr>
        <sz val="9"/>
        <rFont val="Malgun Gothic"/>
        <family val="0"/>
        <charset val="1"/>
      </rPr>
      <t xml:space="preserve">: 25 Vac / 60 Vdc </t>
    </r>
    <r>
      <rPr>
        <sz val="9"/>
        <rFont val="WenQuanYi Zen Hei"/>
        <family val="2"/>
      </rPr>
      <t xml:space="preserve">이상 충전부 비접촉</t>
    </r>
    <r>
      <rPr>
        <sz val="9"/>
        <rFont val="Malgun Gothic"/>
        <family val="0"/>
        <charset val="1"/>
      </rPr>
      <t xml:space="preserve">, IP2X </t>
    </r>
    <r>
      <rPr>
        <sz val="9"/>
        <rFont val="WenQuanYi Zen Hei"/>
        <family val="2"/>
      </rPr>
      <t xml:space="preserve">이상</t>
    </r>
    <r>
      <rPr>
        <sz val="9"/>
        <rFont val="Malgun Gothic"/>
        <family val="0"/>
        <charset val="1"/>
      </rPr>
      <t xml:space="preserve">. </t>
    </r>
    <r>
      <rPr>
        <sz val="9"/>
        <rFont val="WenQuanYi Zen Hei"/>
        <family val="2"/>
      </rPr>
      <t xml:space="preserve">실내 </t>
    </r>
    <r>
      <rPr>
        <sz val="9"/>
        <rFont val="Malgun Gothic"/>
        <family val="0"/>
        <charset val="1"/>
      </rPr>
      <t xml:space="preserve">IP20·</t>
    </r>
    <r>
      <rPr>
        <sz val="9"/>
        <rFont val="WenQuanYi Zen Hei"/>
        <family val="2"/>
      </rPr>
      <t xml:space="preserve">실외 </t>
    </r>
    <r>
      <rPr>
        <sz val="9"/>
        <rFont val="Malgun Gothic"/>
        <family val="0"/>
        <charset val="1"/>
      </rPr>
      <t xml:space="preserve">IP44 (8.3.3)</t>
    </r>
  </si>
  <si>
    <t xml:space="preserve">정격운전, 최악 전압조건</t>
  </si>
  <si>
    <r>
      <rPr>
        <sz val="9"/>
        <rFont val="Malgun Gothic"/>
        <family val="0"/>
        <charset val="1"/>
      </rPr>
      <t xml:space="preserve">IEC 60990 </t>
    </r>
    <r>
      <rPr>
        <sz val="9"/>
        <rFont val="WenQuanYi Zen Hei"/>
        <family val="2"/>
      </rPr>
      <t xml:space="preserve">측정망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접지연속성시험기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오실로스코프</t>
    </r>
  </si>
  <si>
    <r>
      <rPr>
        <sz val="9"/>
        <color rgb="FFC00000"/>
        <rFont val="Malgun Gothic"/>
        <family val="0"/>
        <charset val="1"/>
      </rPr>
      <t xml:space="preserve">V2000 </t>
    </r>
    <r>
      <rPr>
        <sz val="9"/>
        <color rgb="FFC00000"/>
        <rFont val="WenQuanYi Zen Hei"/>
        <family val="2"/>
      </rPr>
      <t xml:space="preserve">설계검토</t>
    </r>
    <r>
      <rPr>
        <sz val="9"/>
        <color rgb="FFC00000"/>
        <rFont val="Malgun Gothic"/>
        <family val="0"/>
        <charset val="1"/>
      </rPr>
      <t xml:space="preserve">: </t>
    </r>
    <r>
      <rPr>
        <sz val="9"/>
        <color rgb="FFC00000"/>
        <rFont val="WenQuanYi Zen Hei"/>
        <family val="2"/>
      </rPr>
      <t xml:space="preserve">제어측 대지전위 약 </t>
    </r>
    <r>
      <rPr>
        <sz val="9"/>
        <color rgb="FFC00000"/>
        <rFont val="Malgun Gothic"/>
        <family val="0"/>
        <charset val="1"/>
      </rPr>
      <t xml:space="preserve">21~119 Vac </t>
    </r>
    <r>
      <rPr>
        <sz val="9"/>
        <color rgb="FFC00000"/>
        <rFont val="WenQuanYi Zen Hei"/>
        <family val="2"/>
      </rPr>
      <t xml:space="preserve">부유</t>
    </r>
    <r>
      <rPr>
        <sz val="9"/>
        <color rgb="FFC00000"/>
        <rFont val="Malgun Gothic"/>
        <family val="0"/>
        <charset val="1"/>
      </rPr>
      <t xml:space="preserve">(</t>
    </r>
    <r>
      <rPr>
        <sz val="9"/>
        <color rgb="FFC00000"/>
        <rFont val="WenQuanYi Zen Hei"/>
        <family val="2"/>
      </rPr>
      <t xml:space="preserve">계산</t>
    </r>
    <r>
      <rPr>
        <sz val="9"/>
        <color rgb="FFC00000"/>
        <rFont val="Malgun Gothic"/>
        <family val="0"/>
        <charset val="1"/>
      </rPr>
      <t xml:space="preserve">)</t>
    </r>
  </si>
  <si>
    <t xml:space="preserve">절연거리 시험</t>
  </si>
  <si>
    <t xml:space="preserve">공간거리 / 연면거리</t>
  </si>
  <si>
    <t xml:space="preserve">mm</t>
  </si>
  <si>
    <t xml:space="preserve">표 4 공간거리·표 5 연면거리 (8.3.4). 기준값 5.5 mm = 제어↔계통 강화절연·OVC III 가정 (OVC II면 3.0 mm). 계통↔PE 기초 3.0 mm</t>
  </si>
  <si>
    <t xml:space="preserve">최악조건(부품공차·조립편차 누적). 배리어별</t>
  </si>
  <si>
    <t xml:space="preserve">측정현미경, 게이지, 3D측정기</t>
  </si>
  <si>
    <r>
      <rPr>
        <sz val="9"/>
        <color rgb="FFC00000"/>
        <rFont val="Malgun Gothic"/>
        <family val="0"/>
        <charset val="1"/>
      </rPr>
      <t xml:space="preserve">V2000 </t>
    </r>
    <r>
      <rPr>
        <sz val="9"/>
        <color rgb="FFC00000"/>
        <rFont val="WenQuanYi Zen Hei"/>
        <family val="2"/>
      </rPr>
      <t xml:space="preserve">설계검토</t>
    </r>
    <r>
      <rPr>
        <sz val="9"/>
        <color rgb="FFC00000"/>
        <rFont val="Malgun Gothic"/>
        <family val="0"/>
        <charset val="1"/>
      </rPr>
      <t xml:space="preserve">: </t>
    </r>
    <r>
      <rPr>
        <sz val="9"/>
        <color rgb="FFC00000"/>
        <rFont val="WenQuanYi Zen Hei"/>
        <family val="2"/>
      </rPr>
      <t xml:space="preserve">최소 </t>
    </r>
    <r>
      <rPr>
        <sz val="9"/>
        <color rgb="FFC00000"/>
        <rFont val="Malgun Gothic"/>
        <family val="0"/>
        <charset val="1"/>
      </rPr>
      <t xml:space="preserve">0.20 mm(BOTTOM)·0.70 mm(TOP) → </t>
    </r>
    <r>
      <rPr>
        <sz val="9"/>
        <color rgb="FFC00000"/>
        <rFont val="WenQuanYi Zen Hei"/>
        <family val="2"/>
      </rPr>
      <t xml:space="preserve">부적합</t>
    </r>
  </si>
  <si>
    <t xml:space="preserve">출력 과전압 및 부족전압 보호 기능 시험</t>
  </si>
  <si>
    <t xml:space="preserve">동작 정정치 / 트립시간</t>
  </si>
  <si>
    <t xml:space="preserve">V(%) / s</t>
  </si>
  <si>
    <t xml:space="preserve">정정: 과전압 +10 %, 부족전압 −12 % (허용 ±2 %). 표 6: V&lt;50 % 0.16 s / 50≤V&lt;88 % 2.00 s / 110&lt;V&lt;120 % 1.00 s / V≥120 % 0.16 s (8.4.1.2)</t>
  </si>
  <si>
    <t xml:space="preserve">계통시뮬레이터 전압 스텝. 구간별</t>
  </si>
  <si>
    <t xml:space="preserve">프로그래머블 AC소스, 오실로스코프</t>
  </si>
  <si>
    <t xml:space="preserve">주파수상승 및 저하 보호 기능 시험</t>
  </si>
  <si>
    <t xml:space="preserve">중결함</t>
  </si>
  <si>
    <t xml:space="preserve">Hz / s</t>
  </si>
  <si>
    <t xml:space="preserve">정정: +0.5 Hz / −0.7 Hz (허용 ±0.05 Hz). 표 7: &gt;60.5 Hz·&lt;59.3 Hz 0.16 s 이내 (8.4.2.2)</t>
  </si>
  <si>
    <t xml:space="preserve">계통시뮬레이터 주파수 스텝. 299초 지연 시 시험시간 급증</t>
  </si>
  <si>
    <t xml:space="preserve">단독운전 방지 기능 시험</t>
  </si>
  <si>
    <t xml:space="preserve">단독운전 검출시간</t>
  </si>
  <si>
    <t xml:space="preserve">s</t>
  </si>
  <si>
    <r>
      <rPr>
        <sz val="9"/>
        <rFont val="Malgun Gothic"/>
        <family val="0"/>
        <charset val="1"/>
      </rPr>
      <t xml:space="preserve">Qf = 1, </t>
    </r>
    <r>
      <rPr>
        <sz val="9"/>
        <rFont val="WenQuanYi Zen Hei"/>
        <family val="2"/>
      </rPr>
      <t xml:space="preserve">표 </t>
    </r>
    <r>
      <rPr>
        <sz val="9"/>
        <rFont val="Malgun Gothic"/>
        <family val="0"/>
        <charset val="1"/>
      </rPr>
      <t xml:space="preserve">8 </t>
    </r>
    <r>
      <rPr>
        <sz val="9"/>
        <rFont val="WenQuanYi Zen Hei"/>
        <family val="2"/>
      </rPr>
      <t xml:space="preserve">병렬운전</t>
    </r>
    <r>
      <rPr>
        <sz val="9"/>
        <rFont val="Malgun Gothic"/>
        <family val="0"/>
        <charset val="1"/>
      </rPr>
      <t xml:space="preserve">(</t>
    </r>
    <r>
      <rPr>
        <sz val="9"/>
        <rFont val="WenQuanYi Zen Hei"/>
        <family val="2"/>
      </rPr>
      <t xml:space="preserve">총 </t>
    </r>
    <r>
      <rPr>
        <sz val="9"/>
        <rFont val="Malgun Gothic"/>
        <family val="0"/>
        <charset val="1"/>
      </rPr>
      <t xml:space="preserve">3 kW), </t>
    </r>
    <r>
      <rPr>
        <sz val="9"/>
        <rFont val="WenQuanYi Zen Hei"/>
        <family val="2"/>
      </rPr>
      <t xml:space="preserve">표 </t>
    </r>
    <r>
      <rPr>
        <sz val="9"/>
        <rFont val="Malgun Gothic"/>
        <family val="0"/>
        <charset val="1"/>
      </rPr>
      <t xml:space="preserve">9~11 </t>
    </r>
    <r>
      <rPr>
        <sz val="9"/>
        <rFont val="WenQuanYi Zen Hei"/>
        <family val="2"/>
      </rPr>
      <t xml:space="preserve">조건</t>
    </r>
    <r>
      <rPr>
        <sz val="9"/>
        <rFont val="Malgun Gothic"/>
        <family val="0"/>
        <charset val="1"/>
      </rPr>
      <t xml:space="preserve">. 0.5 s </t>
    </r>
    <r>
      <rPr>
        <sz val="9"/>
        <rFont val="WenQuanYi Zen Hei"/>
        <family val="2"/>
      </rPr>
      <t xml:space="preserve">이내 개폐기 개방 또는 게이트 블록 </t>
    </r>
    <r>
      <rPr>
        <sz val="9"/>
        <rFont val="Malgun Gothic"/>
        <family val="0"/>
        <charset val="1"/>
      </rPr>
      <t xml:space="preserve">(8.4.3.2)</t>
    </r>
  </si>
  <si>
    <r>
      <rPr>
        <sz val="9"/>
        <rFont val="Malgun Gothic"/>
        <family val="0"/>
        <charset val="1"/>
      </rPr>
      <t xml:space="preserve">IEC 62116 RLC </t>
    </r>
    <r>
      <rPr>
        <sz val="9"/>
        <rFont val="WenQuanYi Zen Hei"/>
        <family val="2"/>
      </rPr>
      <t xml:space="preserve">병렬공진부하 </t>
    </r>
    <r>
      <rPr>
        <sz val="9"/>
        <rFont val="Malgun Gothic"/>
        <family val="0"/>
        <charset val="1"/>
      </rPr>
      <t xml:space="preserve">Q≈1.0. </t>
    </r>
    <r>
      <rPr>
        <sz val="9"/>
        <rFont val="WenQuanYi Zen Hei"/>
        <family val="2"/>
      </rPr>
      <t xml:space="preserve">출력레벨</t>
    </r>
    <r>
      <rPr>
        <sz val="9"/>
        <rFont val="Malgun Gothic"/>
        <family val="0"/>
        <charset val="1"/>
      </rPr>
      <t xml:space="preserve">×</t>
    </r>
    <r>
      <rPr>
        <sz val="9"/>
        <rFont val="WenQuanYi Zen Hei"/>
        <family val="2"/>
      </rPr>
      <t xml:space="preserve">무효전력 스윕</t>
    </r>
  </si>
  <si>
    <r>
      <rPr>
        <sz val="9"/>
        <rFont val="Malgun Gothic"/>
        <family val="0"/>
        <charset val="1"/>
      </rPr>
      <t xml:space="preserve">RLC </t>
    </r>
    <r>
      <rPr>
        <sz val="9"/>
        <rFont val="WenQuanYi Zen Hei"/>
        <family val="2"/>
      </rPr>
      <t xml:space="preserve">부하뱅크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계통시뮬레이터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오실로스코프</t>
    </r>
  </si>
  <si>
    <t xml:space="preserve">표 8은 정격 400 W까지만 대수 규정 — 초과 시 협의</t>
  </si>
  <si>
    <t xml:space="preserve">복전 후 일정 시간 투입 방지 기능 시험</t>
  </si>
  <si>
    <t xml:space="preserve">재연계 지연시간</t>
  </si>
  <si>
    <t xml:space="preserve">정전 10 s 후 복전 — 5분(300 s) 이상 재운전하지 않을 것 (8.4.4.2)</t>
  </si>
  <si>
    <t xml:space="preserve">계통 정상복구 시점부터 계측</t>
  </si>
  <si>
    <t xml:space="preserve">데이터로거</t>
  </si>
  <si>
    <t xml:space="preserve">교류 전압, 주파수 추종범위 시험</t>
  </si>
  <si>
    <t xml:space="preserve">정상운전 유지 전압·주파수 범위</t>
  </si>
  <si>
    <t xml:space="preserve">V / Hz</t>
  </si>
  <si>
    <r>
      <rPr>
        <sz val="9"/>
        <rFont val="Malgun Gothic"/>
        <family val="0"/>
        <charset val="1"/>
      </rPr>
      <t xml:space="preserve">+8 % / −10 %, 60.45 / 59.35 Hz</t>
    </r>
    <r>
      <rPr>
        <sz val="9"/>
        <rFont val="WenQuanYi Zen Hei"/>
        <family val="2"/>
      </rPr>
      <t xml:space="preserve">에서 안정 운전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종합 </t>
    </r>
    <r>
      <rPr>
        <sz val="9"/>
        <rFont val="Malgun Gothic"/>
        <family val="0"/>
        <charset val="1"/>
      </rPr>
      <t xml:space="preserve">THD 5 %·</t>
    </r>
    <r>
      <rPr>
        <sz val="9"/>
        <rFont val="WenQuanYi Zen Hei"/>
        <family val="2"/>
      </rPr>
      <t xml:space="preserve">차수별 </t>
    </r>
    <r>
      <rPr>
        <sz val="9"/>
        <rFont val="Malgun Gothic"/>
        <family val="0"/>
        <charset val="1"/>
      </rPr>
      <t xml:space="preserve">3 %, </t>
    </r>
    <r>
      <rPr>
        <sz val="9"/>
        <rFont val="WenQuanYi Zen Hei"/>
        <family val="2"/>
      </rPr>
      <t xml:space="preserve">역률 </t>
    </r>
    <r>
      <rPr>
        <sz val="9"/>
        <rFont val="Malgun Gothic"/>
        <family val="0"/>
        <charset val="1"/>
      </rPr>
      <t xml:space="preserve">0.95 </t>
    </r>
    <r>
      <rPr>
        <sz val="9"/>
        <rFont val="WenQuanYi Zen Hei"/>
        <family val="2"/>
      </rPr>
      <t xml:space="preserve">이상 </t>
    </r>
    <r>
      <rPr>
        <sz val="9"/>
        <rFont val="Malgun Gothic"/>
        <family val="0"/>
        <charset val="1"/>
      </rPr>
      <t xml:space="preserve">(8.5.1.2)</t>
    </r>
  </si>
  <si>
    <t xml:space="preserve">계통시뮬레이터 ramp 변화로 경계 탐색</t>
  </si>
  <si>
    <t xml:space="preserve">프로그래머블 AC소스, 전력분석기</t>
  </si>
  <si>
    <t xml:space="preserve">정격 &gt;700 W면 −10 %에서 출력전류 센싱(±5 A) 초과</t>
  </si>
  <si>
    <t xml:space="preserve">교류 출력전류 변형률 시험</t>
  </si>
  <si>
    <t xml:space="preserve">종합 THD / 차수별 고조파</t>
  </si>
  <si>
    <t xml:space="preserve">%</t>
  </si>
  <si>
    <r>
      <rPr>
        <sz val="9"/>
        <rFont val="Malgun Gothic"/>
        <family val="0"/>
        <charset val="1"/>
      </rPr>
      <t xml:space="preserve">2~40</t>
    </r>
    <r>
      <rPr>
        <sz val="9"/>
        <rFont val="WenQuanYi Zen Hei"/>
        <family val="2"/>
      </rPr>
      <t xml:space="preserve">차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단상 기준 임피던스 </t>
    </r>
    <r>
      <rPr>
        <sz val="9"/>
        <rFont val="Malgun Gothic"/>
        <family val="0"/>
        <charset val="1"/>
      </rPr>
      <t xml:space="preserve">(0.4+j0.25) Ω. </t>
    </r>
    <r>
      <rPr>
        <sz val="9"/>
        <rFont val="WenQuanYi Zen Hei"/>
        <family val="2"/>
      </rPr>
      <t xml:space="preserve">종합 </t>
    </r>
    <r>
      <rPr>
        <sz val="9"/>
        <rFont val="Malgun Gothic"/>
        <family val="0"/>
        <charset val="1"/>
      </rPr>
      <t xml:space="preserve">5 % </t>
    </r>
    <r>
      <rPr>
        <sz val="9"/>
        <rFont val="WenQuanYi Zen Hei"/>
        <family val="2"/>
      </rPr>
      <t xml:space="preserve">이내</t>
    </r>
    <r>
      <rPr>
        <sz val="9"/>
        <rFont val="Malgun Gothic"/>
        <family val="0"/>
        <charset val="1"/>
      </rPr>
      <t xml:space="preserve">·</t>
    </r>
    <r>
      <rPr>
        <sz val="9"/>
        <rFont val="WenQuanYi Zen Hei"/>
        <family val="2"/>
      </rPr>
      <t xml:space="preserve">각 차수 </t>
    </r>
    <r>
      <rPr>
        <sz val="9"/>
        <rFont val="Malgun Gothic"/>
        <family val="0"/>
        <charset val="1"/>
      </rPr>
      <t xml:space="preserve">3 % </t>
    </r>
    <r>
      <rPr>
        <sz val="9"/>
        <rFont val="WenQuanYi Zen Hei"/>
        <family val="2"/>
      </rPr>
      <t xml:space="preserve">이내 </t>
    </r>
    <r>
      <rPr>
        <sz val="9"/>
        <rFont val="Malgun Gothic"/>
        <family val="0"/>
        <charset val="1"/>
      </rPr>
      <t xml:space="preserve">(8.5.2.2)</t>
    </r>
  </si>
  <si>
    <t xml:space="preserve">출력레벨별(경부하 필수). 저왜율 기준전원 사용</t>
  </si>
  <si>
    <t xml:space="preserve">전력분석기(고조파), 저왜율 AC소스</t>
  </si>
  <si>
    <t xml:space="preserve">누설전류 시험</t>
  </si>
  <si>
    <t xml:space="preserve">접촉전류 / 보호도체전류</t>
  </si>
  <si>
    <t xml:space="preserve">mA</t>
  </si>
  <si>
    <r>
      <rPr>
        <sz val="9"/>
        <rFont val="Malgun Gothic"/>
        <family val="0"/>
        <charset val="1"/>
      </rPr>
      <t xml:space="preserve">KS C IEC 60990 </t>
    </r>
    <r>
      <rPr>
        <sz val="9"/>
        <rFont val="WenQuanYi Zen Hei"/>
        <family val="2"/>
      </rPr>
      <t xml:space="preserve">그림 </t>
    </r>
    <r>
      <rPr>
        <sz val="9"/>
        <rFont val="Malgun Gothic"/>
        <family val="0"/>
        <charset val="1"/>
      </rPr>
      <t xml:space="preserve">4 </t>
    </r>
    <r>
      <rPr>
        <sz val="9"/>
        <rFont val="WenQuanYi Zen Hei"/>
        <family val="2"/>
      </rPr>
      <t xml:space="preserve">회로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기체↔대지 누설전류 </t>
    </r>
    <r>
      <rPr>
        <sz val="9"/>
        <rFont val="Malgun Gothic"/>
        <family val="0"/>
        <charset val="1"/>
      </rPr>
      <t xml:space="preserve">5 mA </t>
    </r>
    <r>
      <rPr>
        <sz val="9"/>
        <rFont val="WenQuanYi Zen Hei"/>
        <family val="2"/>
      </rPr>
      <t xml:space="preserve">이하 </t>
    </r>
    <r>
      <rPr>
        <sz val="9"/>
        <rFont val="Malgun Gothic"/>
        <family val="0"/>
        <charset val="1"/>
      </rPr>
      <t xml:space="preserve">(8.5.3.2)</t>
    </r>
  </si>
  <si>
    <t xml:space="preserve">정격운전, 최악조건(전압상한·극성반전)</t>
  </si>
  <si>
    <r>
      <rPr>
        <sz val="9"/>
        <rFont val="Malgun Gothic"/>
        <family val="0"/>
        <charset val="1"/>
      </rPr>
      <t xml:space="preserve">IEC 60990 </t>
    </r>
    <r>
      <rPr>
        <sz val="9"/>
        <rFont val="WenQuanYi Zen Hei"/>
        <family val="2"/>
      </rPr>
      <t xml:space="preserve">측정망</t>
    </r>
  </si>
  <si>
    <r>
      <rPr>
        <sz val="9"/>
        <color rgb="FFC00000"/>
        <rFont val="Malgun Gothic"/>
        <family val="0"/>
        <charset val="1"/>
      </rPr>
      <t xml:space="preserve">V2000 </t>
    </r>
    <r>
      <rPr>
        <sz val="9"/>
        <color rgb="FFC00000"/>
        <rFont val="WenQuanYi Zen Hei"/>
        <family val="2"/>
      </rPr>
      <t xml:space="preserve">설계검토</t>
    </r>
    <r>
      <rPr>
        <sz val="9"/>
        <color rgb="FFC00000"/>
        <rFont val="Malgun Gothic"/>
        <family val="0"/>
        <charset val="1"/>
      </rPr>
      <t xml:space="preserve">: </t>
    </r>
    <r>
      <rPr>
        <sz val="9"/>
        <color rgb="FFC00000"/>
        <rFont val="WenQuanYi Zen Hei"/>
        <family val="2"/>
      </rPr>
      <t xml:space="preserve">계산 </t>
    </r>
    <r>
      <rPr>
        <sz val="9"/>
        <color rgb="FFC00000"/>
        <rFont val="Malgun Gothic"/>
        <family val="0"/>
        <charset val="1"/>
      </rPr>
      <t xml:space="preserve">0.55~0.85 mA</t>
    </r>
  </si>
  <si>
    <t xml:space="preserve">온도 상승 시험</t>
  </si>
  <si>
    <t xml:space="preserve">부위별 온도상승</t>
  </si>
  <si>
    <t xml:space="preserve">K (°C)</t>
  </si>
  <si>
    <t xml:space="preserve">기준주위 옥내 30±5 ℃ / 옥외 40±5 ℃. 표 12(절연등급)·표 13(전해C 65, 비전해C 90, 외부 결선단자 60, 퓨즈 90, PCB 105, 절연물 90 ℃ — 제조자 정격 있으면 그 값)·표 14</t>
  </si>
  <si>
    <t xml:space="preserve">정격출력, 열평형 도달 후. 모듈후면 주위온도 기준</t>
  </si>
  <si>
    <t xml:space="preserve">열전대+데이터로거, 항온조, 저항법</t>
  </si>
  <si>
    <t xml:space="preserve">효율 시험</t>
  </si>
  <si>
    <t xml:space="preserve">변환효율 / 가중효율</t>
  </si>
  <si>
    <r>
      <rPr>
        <sz val="9"/>
        <rFont val="Malgun Gothic"/>
        <family val="0"/>
        <charset val="1"/>
      </rPr>
      <t xml:space="preserve">EURO </t>
    </r>
    <r>
      <rPr>
        <sz val="9"/>
        <rFont val="WenQuanYi Zen Hei"/>
        <family val="2"/>
      </rPr>
      <t xml:space="preserve">효율 </t>
    </r>
    <r>
      <rPr>
        <sz val="9"/>
        <rFont val="Malgun Gothic"/>
        <family val="0"/>
        <charset val="1"/>
      </rPr>
      <t xml:space="preserve">90 % </t>
    </r>
    <r>
      <rPr>
        <sz val="9"/>
        <rFont val="WenQuanYi Zen Hei"/>
        <family val="2"/>
      </rPr>
      <t xml:space="preserve">이상 </t>
    </r>
    <r>
      <rPr>
        <sz val="9"/>
        <rFont val="Malgun Gothic"/>
        <family val="0"/>
        <charset val="1"/>
      </rPr>
      <t xml:space="preserve">(</t>
    </r>
    <r>
      <rPr>
        <sz val="9"/>
        <rFont val="WenQuanYi Zen Hei"/>
        <family val="2"/>
      </rPr>
      <t xml:space="preserve">독립형 </t>
    </r>
    <r>
      <rPr>
        <sz val="9"/>
        <rFont val="Malgun Gothic"/>
        <family val="0"/>
        <charset val="1"/>
      </rPr>
      <t xml:space="preserve">85 %). η_EU = 0.03η5+0.06η10+0.13η20+0.10η30+0.48η50+0.20η100 (8.5.5.2) — '</t>
    </r>
    <r>
      <rPr>
        <sz val="9"/>
        <rFont val="WenQuanYi Zen Hei"/>
        <family val="2"/>
      </rPr>
      <t xml:space="preserve">효율측정</t>
    </r>
    <r>
      <rPr>
        <sz val="9"/>
        <rFont val="Malgun Gothic"/>
        <family val="0"/>
        <charset val="1"/>
      </rPr>
      <t xml:space="preserve">' </t>
    </r>
    <r>
      <rPr>
        <sz val="9"/>
        <rFont val="WenQuanYi Zen Hei"/>
        <family val="2"/>
      </rPr>
      <t xml:space="preserve">시트 </t>
    </r>
    <r>
      <rPr>
        <sz val="9"/>
        <rFont val="Malgun Gothic"/>
        <family val="0"/>
        <charset val="1"/>
      </rPr>
      <t xml:space="preserve">B13 </t>
    </r>
    <r>
      <rPr>
        <sz val="9"/>
        <rFont val="WenQuanYi Zen Hei"/>
        <family val="2"/>
      </rPr>
      <t xml:space="preserve">값 입력</t>
    </r>
  </si>
  <si>
    <r>
      <rPr>
        <sz val="9"/>
        <rFont val="Malgun Gothic"/>
        <family val="0"/>
        <charset val="1"/>
      </rPr>
      <t xml:space="preserve">IEC 61683/EN 50530. </t>
    </r>
    <r>
      <rPr>
        <sz val="9"/>
        <rFont val="WenQuanYi Zen Hei"/>
        <family val="2"/>
      </rPr>
      <t xml:space="preserve">입력전압</t>
    </r>
    <r>
      <rPr>
        <sz val="9"/>
        <rFont val="Malgun Gothic"/>
        <family val="0"/>
        <charset val="1"/>
      </rPr>
      <t xml:space="preserve">×</t>
    </r>
    <r>
      <rPr>
        <sz val="9"/>
        <rFont val="WenQuanYi Zen Hei"/>
        <family val="2"/>
      </rPr>
      <t xml:space="preserve">출력레벨 매트릭스 → </t>
    </r>
    <r>
      <rPr>
        <sz val="9"/>
        <rFont val="Malgun Gothic"/>
        <family val="0"/>
        <charset val="1"/>
      </rPr>
      <t xml:space="preserve">'</t>
    </r>
    <r>
      <rPr>
        <sz val="9"/>
        <rFont val="WenQuanYi Zen Hei"/>
        <family val="2"/>
      </rPr>
      <t xml:space="preserve">효율측정</t>
    </r>
    <r>
      <rPr>
        <sz val="9"/>
        <rFont val="Malgun Gothic"/>
        <family val="0"/>
        <charset val="1"/>
      </rPr>
      <t xml:space="preserve">' </t>
    </r>
    <r>
      <rPr>
        <sz val="9"/>
        <rFont val="WenQuanYi Zen Hei"/>
        <family val="2"/>
      </rPr>
      <t xml:space="preserve">시트</t>
    </r>
  </si>
  <si>
    <t xml:space="preserve">고정밀 전력분석기(0.05%급), PV시뮬레이터</t>
  </si>
  <si>
    <t xml:space="preserve">대기 손실 시험</t>
  </si>
  <si>
    <t xml:space="preserve">대기·야간 소비전력</t>
  </si>
  <si>
    <t xml:space="preserve">W</t>
  </si>
  <si>
    <t xml:space="preserve">대기 손실이 정격 출력의 2 % 이하 (KS C 8533, 8.5.6.2) — 실측값은 정격 대비 % 로 입력</t>
  </si>
  <si>
    <r>
      <rPr>
        <sz val="9"/>
        <rFont val="Malgun Gothic"/>
        <family val="0"/>
        <charset val="1"/>
      </rPr>
      <t xml:space="preserve">PV</t>
    </r>
    <r>
      <rPr>
        <sz val="9"/>
        <rFont val="WenQuanYi Zen Hei"/>
        <family val="2"/>
      </rPr>
      <t xml:space="preserve">입력 차단</t>
    </r>
    <r>
      <rPr>
        <sz val="9"/>
        <rFont val="Malgun Gothic"/>
        <family val="0"/>
        <charset val="1"/>
      </rPr>
      <t xml:space="preserve">, AC</t>
    </r>
    <r>
      <rPr>
        <sz val="9"/>
        <rFont val="WenQuanYi Zen Hei"/>
        <family val="2"/>
      </rPr>
      <t xml:space="preserve">만 인가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안정화 후</t>
    </r>
    <r>
      <rPr>
        <sz val="9"/>
        <rFont val="Malgun Gothic"/>
        <family val="0"/>
        <charset val="1"/>
      </rPr>
      <t xml:space="preserve">. </t>
    </r>
    <r>
      <rPr>
        <sz val="9"/>
        <rFont val="WenQuanYi Zen Hei"/>
        <family val="2"/>
      </rPr>
      <t xml:space="preserve">통신모듈 상태 명시</t>
    </r>
  </si>
  <si>
    <t xml:space="preserve">저전력 측정 전력계(mW 분해능)</t>
  </si>
  <si>
    <t xml:space="preserve">자동 기동·정지 시험</t>
  </si>
  <si>
    <t xml:space="preserve">기동/정지 임계, 기동 소요시간</t>
  </si>
  <si>
    <t xml:space="preserve">W / V / s</t>
  </si>
  <si>
    <t xml:space="preserve">기동·정지 절차대로 동작, 채터링 3회 이내 (8.5.7.2)</t>
  </si>
  <si>
    <r>
      <rPr>
        <sz val="9"/>
        <rFont val="Malgun Gothic"/>
        <family val="0"/>
        <charset val="1"/>
      </rPr>
      <t xml:space="preserve">PV</t>
    </r>
    <r>
      <rPr>
        <sz val="9"/>
        <rFont val="WenQuanYi Zen Hei"/>
        <family val="2"/>
      </rPr>
      <t xml:space="preserve">시뮬레이터 입력 증감</t>
    </r>
    <r>
      <rPr>
        <sz val="9"/>
        <rFont val="Malgun Gothic"/>
        <family val="0"/>
        <charset val="1"/>
      </rPr>
      <t xml:space="preserve">. </t>
    </r>
    <r>
      <rPr>
        <sz val="9"/>
        <rFont val="WenQuanYi Zen Hei"/>
        <family val="2"/>
      </rPr>
      <t xml:space="preserve">히스테리시스 확인</t>
    </r>
  </si>
  <si>
    <r>
      <rPr>
        <sz val="9"/>
        <rFont val="Malgun Gothic"/>
        <family val="0"/>
        <charset val="1"/>
      </rPr>
      <t xml:space="preserve">PV</t>
    </r>
    <r>
      <rPr>
        <sz val="9"/>
        <rFont val="WenQuanYi Zen Hei"/>
        <family val="2"/>
      </rPr>
      <t xml:space="preserve">시뮬레이터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데이터로거</t>
    </r>
  </si>
  <si>
    <t xml:space="preserve">최대 전력 추종 시험</t>
  </si>
  <si>
    <t xml:space="preserve">정적 MPPT효율 / 동적 MPPT효율</t>
  </si>
  <si>
    <t xml:space="preserve">등가일사 100/75/50/25/12.5 %에서 MPPT 효율 95 % 이상 (8.5.8.2)</t>
  </si>
  <si>
    <r>
      <rPr>
        <sz val="9"/>
        <rFont val="Malgun Gothic"/>
        <family val="0"/>
        <charset val="1"/>
      </rPr>
      <t xml:space="preserve">IEC 62891/EN 50530. </t>
    </r>
    <r>
      <rPr>
        <sz val="9"/>
        <rFont val="WenQuanYi Zen Hei"/>
        <family val="2"/>
      </rPr>
      <t xml:space="preserve">동적 램프 프로파일 지원 장비 필수</t>
    </r>
  </si>
  <si>
    <r>
      <rPr>
        <sz val="9"/>
        <rFont val="Malgun Gothic"/>
        <family val="0"/>
        <charset val="1"/>
      </rPr>
      <t xml:space="preserve">PV</t>
    </r>
    <r>
      <rPr>
        <sz val="9"/>
        <rFont val="WenQuanYi Zen Hei"/>
        <family val="2"/>
      </rPr>
      <t xml:space="preserve">시뮬레이터</t>
    </r>
    <r>
      <rPr>
        <sz val="9"/>
        <rFont val="Malgun Gothic"/>
        <family val="0"/>
        <charset val="1"/>
      </rPr>
      <t xml:space="preserve">(</t>
    </r>
    <r>
      <rPr>
        <sz val="9"/>
        <rFont val="WenQuanYi Zen Hei"/>
        <family val="2"/>
      </rPr>
      <t xml:space="preserve">동적</t>
    </r>
    <r>
      <rPr>
        <sz val="9"/>
        <rFont val="Malgun Gothic"/>
        <family val="0"/>
        <charset val="1"/>
      </rPr>
      <t xml:space="preserve">), </t>
    </r>
    <r>
      <rPr>
        <sz val="9"/>
        <rFont val="WenQuanYi Zen Hei"/>
        <family val="2"/>
      </rPr>
      <t xml:space="preserve">전력분석기</t>
    </r>
  </si>
  <si>
    <t xml:space="preserve">출력전류 직류분 검출 시험</t>
  </si>
  <si>
    <t xml:space="preserve">출력전류 DC 성분</t>
  </si>
  <si>
    <r>
      <rPr>
        <sz val="9"/>
        <rFont val="Malgun Gothic"/>
        <family val="0"/>
        <charset val="1"/>
      </rPr>
      <t xml:space="preserve">mA (</t>
    </r>
    <r>
      <rPr>
        <sz val="9"/>
        <rFont val="WenQuanYi Zen Hei"/>
        <family val="2"/>
      </rPr>
      <t xml:space="preserve">정격 대비 </t>
    </r>
    <r>
      <rPr>
        <sz val="9"/>
        <rFont val="Malgun Gothic"/>
        <family val="0"/>
        <charset val="1"/>
      </rPr>
      <t xml:space="preserve">%)</t>
    </r>
  </si>
  <si>
    <t xml:space="preserve">출력전류 직류성분 ≤ 정격전류의 0.5 % (8.5.9.2), 상용주파 변압기 사용 기기 제외 — 실측값은 % 로 입력</t>
  </si>
  <si>
    <t xml:space="preserve">출력레벨별·온도조건별. 측정 전 오프셋 교정 필수</t>
  </si>
  <si>
    <r>
      <rPr>
        <sz val="9"/>
        <rFont val="Malgun Gothic"/>
        <family val="0"/>
        <charset val="1"/>
      </rPr>
      <t xml:space="preserve">DC</t>
    </r>
    <r>
      <rPr>
        <sz val="9"/>
        <rFont val="WenQuanYi Zen Hei"/>
        <family val="2"/>
      </rPr>
      <t xml:space="preserve">응답 전류프로브</t>
    </r>
    <r>
      <rPr>
        <sz val="9"/>
        <rFont val="Malgun Gothic"/>
        <family val="0"/>
        <charset val="1"/>
      </rPr>
      <t xml:space="preserve">/</t>
    </r>
    <r>
      <rPr>
        <sz val="9"/>
        <rFont val="WenQuanYi Zen Hei"/>
        <family val="2"/>
      </rPr>
      <t xml:space="preserve">분류기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전력분석기</t>
    </r>
  </si>
  <si>
    <t xml:space="preserve">입력전력 급변 시험</t>
  </si>
  <si>
    <t xml:space="preserve">오버슈트 / 정정시간 / 오동작 유무</t>
  </si>
  <si>
    <r>
      <rPr>
        <sz val="9"/>
        <rFont val="Malgun Gothic"/>
        <family val="0"/>
        <charset val="1"/>
      </rPr>
      <t xml:space="preserve">% / s / </t>
    </r>
    <r>
      <rPr>
        <sz val="9"/>
        <rFont val="WenQuanYi Zen Hei"/>
        <family val="2"/>
      </rPr>
      <t xml:space="preserve">양부</t>
    </r>
  </si>
  <si>
    <t xml:space="preserve">입력전력 50→75 %, 50→25 % (0.1 s 이하 계단, 10 s 유지) 안정 운전 (8.6.1.2)</t>
  </si>
  <si>
    <r>
      <rPr>
        <sz val="9"/>
        <rFont val="Malgun Gothic"/>
        <family val="0"/>
        <charset val="1"/>
      </rPr>
      <t xml:space="preserve">PV</t>
    </r>
    <r>
      <rPr>
        <sz val="9"/>
        <rFont val="WenQuanYi Zen Hei"/>
        <family val="2"/>
      </rPr>
      <t xml:space="preserve">시뮬레이터 입력 스텝</t>
    </r>
    <r>
      <rPr>
        <sz val="9"/>
        <rFont val="Malgun Gothic"/>
        <family val="0"/>
        <charset val="1"/>
      </rPr>
      <t xml:space="preserve">(</t>
    </r>
    <r>
      <rPr>
        <sz val="9"/>
        <rFont val="WenQuanYi Zen Hei"/>
        <family val="2"/>
      </rPr>
      <t xml:space="preserve">증감 양방향</t>
    </r>
    <r>
      <rPr>
        <sz val="9"/>
        <rFont val="Malgun Gothic"/>
        <family val="0"/>
        <charset val="1"/>
      </rPr>
      <t xml:space="preserve">)</t>
    </r>
  </si>
  <si>
    <t xml:space="preserve">오실로스코프, 전력분석기</t>
  </si>
  <si>
    <t xml:space="preserve">계통전압 급변 시험</t>
  </si>
  <si>
    <t xml:space="preserve">과도전류 피크 / 정정시간 / 오동작</t>
  </si>
  <si>
    <r>
      <rPr>
        <sz val="9"/>
        <rFont val="Malgun Gothic"/>
        <family val="0"/>
        <charset val="1"/>
      </rPr>
      <t xml:space="preserve">A / s / </t>
    </r>
    <r>
      <rPr>
        <sz val="9"/>
        <rFont val="WenQuanYi Zen Hei"/>
        <family val="2"/>
      </rPr>
      <t xml:space="preserve">양부</t>
    </r>
  </si>
  <si>
    <r>
      <rPr>
        <sz val="9"/>
        <rFont val="Malgun Gothic"/>
        <family val="0"/>
        <charset val="1"/>
      </rPr>
      <t xml:space="preserve">8.5.1 </t>
    </r>
    <r>
      <rPr>
        <sz val="9"/>
        <rFont val="WenQuanYi Zen Hei"/>
        <family val="2"/>
      </rPr>
      <t xml:space="preserve">최대</t>
    </r>
    <r>
      <rPr>
        <sz val="9"/>
        <rFont val="Malgun Gothic"/>
        <family val="0"/>
        <charset val="1"/>
      </rPr>
      <t xml:space="preserve">·</t>
    </r>
    <r>
      <rPr>
        <sz val="9"/>
        <rFont val="WenQuanYi Zen Hei"/>
        <family val="2"/>
      </rPr>
      <t xml:space="preserve">최소 전압으로 계단</t>
    </r>
    <r>
      <rPr>
        <sz val="9"/>
        <rFont val="Malgun Gothic"/>
        <family val="0"/>
        <charset val="1"/>
      </rPr>
      <t xml:space="preserve">(1</t>
    </r>
    <r>
      <rPr>
        <sz val="9"/>
        <rFont val="WenQuanYi Zen Hei"/>
        <family val="2"/>
      </rPr>
      <t xml:space="preserve">주기 이하</t>
    </r>
    <r>
      <rPr>
        <sz val="9"/>
        <rFont val="Malgun Gothic"/>
        <family val="0"/>
        <charset val="1"/>
      </rPr>
      <t xml:space="preserve">), 10 s </t>
    </r>
    <r>
      <rPr>
        <sz val="9"/>
        <rFont val="WenQuanYi Zen Hei"/>
        <family val="2"/>
      </rPr>
      <t xml:space="preserve">유지 — 안정 운전 </t>
    </r>
    <r>
      <rPr>
        <sz val="9"/>
        <rFont val="Malgun Gothic"/>
        <family val="0"/>
        <charset val="1"/>
      </rPr>
      <t xml:space="preserve">(8.6.2.1)</t>
    </r>
  </si>
  <si>
    <t xml:space="preserve">계통시뮬레이터 전압 스텝</t>
  </si>
  <si>
    <t xml:space="preserve">오실로스코프</t>
  </si>
  <si>
    <t xml:space="preserve">계통전압 위상 급변 시험</t>
  </si>
  <si>
    <t xml:space="preserve">재동기 시간 / 과도전류 / 오동작</t>
  </si>
  <si>
    <r>
      <rPr>
        <sz val="9"/>
        <rFont val="Malgun Gothic"/>
        <family val="0"/>
        <charset val="1"/>
      </rPr>
      <t xml:space="preserve">s / A / </t>
    </r>
    <r>
      <rPr>
        <sz val="9"/>
        <rFont val="WenQuanYi Zen Hei"/>
        <family val="2"/>
      </rPr>
      <t xml:space="preserve">양부</t>
    </r>
  </si>
  <si>
    <r>
      <rPr>
        <sz val="9"/>
        <rFont val="Malgun Gothic"/>
        <family val="0"/>
        <charset val="1"/>
      </rPr>
      <t xml:space="preserve">±10° </t>
    </r>
    <r>
      <rPr>
        <sz val="9"/>
        <rFont val="WenQuanYi Zen Hei"/>
        <family val="2"/>
      </rPr>
      <t xml:space="preserve">안정 운전 </t>
    </r>
    <r>
      <rPr>
        <sz val="9"/>
        <rFont val="Malgun Gothic"/>
        <family val="0"/>
        <charset val="1"/>
      </rPr>
      <t xml:space="preserve">/ +120° </t>
    </r>
    <r>
      <rPr>
        <sz val="9"/>
        <rFont val="WenQuanYi Zen Hei"/>
        <family val="2"/>
      </rPr>
      <t xml:space="preserve">운전 계속 또는 안전 정지</t>
    </r>
    <r>
      <rPr>
        <sz val="9"/>
        <rFont val="Malgun Gothic"/>
        <family val="0"/>
        <charset val="1"/>
      </rPr>
      <t xml:space="preserve">·</t>
    </r>
    <r>
      <rPr>
        <sz val="9"/>
        <rFont val="WenQuanYi Zen Hei"/>
        <family val="2"/>
      </rPr>
      <t xml:space="preserve">무손상</t>
    </r>
    <r>
      <rPr>
        <sz val="9"/>
        <rFont val="Malgun Gothic"/>
        <family val="0"/>
        <charset val="1"/>
      </rPr>
      <t xml:space="preserve">·</t>
    </r>
    <r>
      <rPr>
        <sz val="9"/>
        <rFont val="WenQuanYi Zen Hei"/>
        <family val="2"/>
      </rPr>
      <t xml:space="preserve">자동 기동 </t>
    </r>
    <r>
      <rPr>
        <sz val="9"/>
        <rFont val="Malgun Gothic"/>
        <family val="0"/>
        <charset val="1"/>
      </rPr>
      <t xml:space="preserve">(8.6.3.1)</t>
    </r>
  </si>
  <si>
    <t xml:space="preserve">위상 스텝(±, 크기별). 8번과 한 쌍으로 기록</t>
  </si>
  <si>
    <t xml:space="preserve">위상스텝 지원 AC소스, 오실로스코프</t>
  </si>
  <si>
    <t xml:space="preserve">출력측 단락 시험</t>
  </si>
  <si>
    <t xml:space="preserve">단락전류 피크 / 보호동작시간 / 손상유무</t>
  </si>
  <si>
    <r>
      <rPr>
        <sz val="9"/>
        <rFont val="Malgun Gothic"/>
        <family val="0"/>
        <charset val="1"/>
      </rPr>
      <t xml:space="preserve">A / ms / </t>
    </r>
    <r>
      <rPr>
        <sz val="9"/>
        <rFont val="WenQuanYi Zen Hei"/>
        <family val="2"/>
      </rPr>
      <t xml:space="preserve">양부</t>
    </r>
  </si>
  <si>
    <r>
      <rPr>
        <sz val="9"/>
        <rFont val="Malgun Gothic"/>
        <family val="0"/>
        <charset val="1"/>
      </rPr>
      <t xml:space="preserve">R_ASC ≥ </t>
    </r>
    <r>
      <rPr>
        <sz val="9"/>
        <rFont val="WenQuanYi Zen Hei"/>
        <family val="2"/>
      </rPr>
      <t xml:space="preserve">정격전류 </t>
    </r>
    <r>
      <rPr>
        <sz val="9"/>
        <rFont val="Malgun Gothic"/>
        <family val="0"/>
        <charset val="1"/>
      </rPr>
      <t xml:space="preserve">10</t>
    </r>
    <r>
      <rPr>
        <sz val="9"/>
        <rFont val="WenQuanYi Zen Hei"/>
        <family val="2"/>
      </rPr>
      <t xml:space="preserve">배 부하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전원측 </t>
    </r>
    <r>
      <rPr>
        <sz val="9"/>
        <rFont val="Malgun Gothic"/>
        <family val="0"/>
        <charset val="1"/>
      </rPr>
      <t xml:space="preserve">0.3 s </t>
    </r>
    <r>
      <rPr>
        <sz val="9"/>
        <rFont val="WenQuanYi Zen Hei"/>
        <family val="2"/>
      </rPr>
      <t xml:space="preserve">내 개방</t>
    </r>
    <r>
      <rPr>
        <sz val="9"/>
        <rFont val="Malgun Gothic"/>
        <family val="0"/>
        <charset val="1"/>
      </rPr>
      <t xml:space="preserve">. </t>
    </r>
    <r>
      <rPr>
        <sz val="9"/>
        <rFont val="WenQuanYi Zen Hei"/>
        <family val="2"/>
      </rPr>
      <t xml:space="preserve">안전 정지</t>
    </r>
    <r>
      <rPr>
        <sz val="9"/>
        <rFont val="Malgun Gothic"/>
        <family val="0"/>
        <charset val="1"/>
      </rPr>
      <t xml:space="preserve">·</t>
    </r>
    <r>
      <rPr>
        <sz val="9"/>
        <rFont val="WenQuanYi Zen Hei"/>
        <family val="2"/>
      </rPr>
      <t xml:space="preserve">무손상 </t>
    </r>
    <r>
      <rPr>
        <sz val="9"/>
        <rFont val="Malgun Gothic"/>
        <family val="0"/>
        <charset val="1"/>
      </rPr>
      <t xml:space="preserve">(8.7.1.2)</t>
    </r>
  </si>
  <si>
    <t xml:space="preserve">정격운전 중 출력단 저임피던스 단락</t>
  </si>
  <si>
    <t xml:space="preserve">고속 전류프로브, 오실로스코프</t>
  </si>
  <si>
    <r>
      <rPr>
        <sz val="9"/>
        <color rgb="FFC00000"/>
        <rFont val="Malgun Gothic"/>
        <family val="0"/>
        <charset val="1"/>
      </rPr>
      <t xml:space="preserve">F1 </t>
    </r>
    <r>
      <rPr>
        <sz val="9"/>
        <color rgb="FFC00000"/>
        <rFont val="WenQuanYi Zen Hei"/>
        <family val="2"/>
      </rPr>
      <t xml:space="preserve">차단용량 </t>
    </r>
    <r>
      <rPr>
        <sz val="9"/>
        <color rgb="FFC00000"/>
        <rFont val="Malgun Gothic"/>
        <family val="0"/>
        <charset val="1"/>
      </rPr>
      <t xml:space="preserve">100 A </t>
    </r>
    <r>
      <rPr>
        <sz val="9"/>
        <color rgb="FFC00000"/>
        <rFont val="WenQuanYi Zen Hei"/>
        <family val="2"/>
      </rPr>
      <t xml:space="preserve">확인 필요</t>
    </r>
  </si>
  <si>
    <t xml:space="preserve">계통전압 순간정전·강하 시험</t>
  </si>
  <si>
    <t xml:space="preserve">운전유지 또는 복귀 여부 / 복귀시간</t>
  </si>
  <si>
    <t xml:space="preserve">양부 / s</t>
  </si>
  <si>
    <r>
      <rPr>
        <sz val="9"/>
        <rFont val="Malgun Gothic"/>
        <family val="0"/>
        <charset val="1"/>
      </rPr>
      <t xml:space="preserve">0.3 s </t>
    </r>
    <r>
      <rPr>
        <sz val="9"/>
        <rFont val="WenQuanYi Zen Hei"/>
        <family val="2"/>
      </rPr>
      <t xml:space="preserve">정전</t>
    </r>
    <r>
      <rPr>
        <sz val="9"/>
        <rFont val="Malgun Gothic"/>
        <family val="0"/>
        <charset val="1"/>
      </rPr>
      <t xml:space="preserve">(0 %)·</t>
    </r>
    <r>
      <rPr>
        <sz val="9"/>
        <rFont val="WenQuanYi Zen Hei"/>
        <family val="2"/>
      </rPr>
      <t xml:space="preserve">강하</t>
    </r>
    <r>
      <rPr>
        <sz val="9"/>
        <rFont val="Malgun Gothic"/>
        <family val="0"/>
        <charset val="1"/>
      </rPr>
      <t xml:space="preserve">(70 %), </t>
    </r>
    <r>
      <rPr>
        <sz val="9"/>
        <rFont val="WenQuanYi Zen Hei"/>
        <family val="2"/>
      </rPr>
      <t xml:space="preserve">투입위상 </t>
    </r>
    <r>
      <rPr>
        <sz val="9"/>
        <rFont val="Malgun Gothic"/>
        <family val="0"/>
        <charset val="1"/>
      </rPr>
      <t xml:space="preserve">0/45/90° </t>
    </r>
    <r>
      <rPr>
        <sz val="9"/>
        <rFont val="WenQuanYi Zen Hei"/>
        <family val="2"/>
      </rPr>
      <t xml:space="preserve">각 </t>
    </r>
    <r>
      <rPr>
        <sz val="9"/>
        <rFont val="Malgun Gothic"/>
        <family val="0"/>
        <charset val="1"/>
      </rPr>
      <t xml:space="preserve">2</t>
    </r>
    <r>
      <rPr>
        <sz val="9"/>
        <rFont val="WenQuanYi Zen Hei"/>
        <family val="2"/>
      </rPr>
      <t xml:space="preserve">회</t>
    </r>
    <r>
      <rPr>
        <sz val="9"/>
        <rFont val="Malgun Gothic"/>
        <family val="0"/>
        <charset val="1"/>
      </rPr>
      <t xml:space="preserve">. </t>
    </r>
    <r>
      <rPr>
        <sz val="9"/>
        <rFont val="WenQuanYi Zen Hei"/>
        <family val="2"/>
      </rPr>
      <t xml:space="preserve">안전 정지 또는 운전 계속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정지 시 복전 </t>
    </r>
    <r>
      <rPr>
        <sz val="9"/>
        <rFont val="Malgun Gothic"/>
        <family val="0"/>
        <charset val="1"/>
      </rPr>
      <t xml:space="preserve">5</t>
    </r>
    <r>
      <rPr>
        <sz val="9"/>
        <rFont val="WenQuanYi Zen Hei"/>
        <family val="2"/>
      </rPr>
      <t xml:space="preserve">분 후 재개 </t>
    </r>
    <r>
      <rPr>
        <sz val="9"/>
        <rFont val="Malgun Gothic"/>
        <family val="0"/>
        <charset val="1"/>
      </rPr>
      <t xml:space="preserve">(8.7.2.2)</t>
    </r>
  </si>
  <si>
    <t xml:space="preserve">강하깊이(%)×지속시간(ms) 조합별. 판정기준 확인 필요</t>
  </si>
  <si>
    <r>
      <rPr>
        <sz val="9"/>
        <rFont val="Malgun Gothic"/>
        <family val="0"/>
        <charset val="1"/>
      </rPr>
      <t xml:space="preserve">sag </t>
    </r>
    <r>
      <rPr>
        <sz val="9"/>
        <rFont val="WenQuanYi Zen Hei"/>
        <family val="2"/>
      </rPr>
      <t xml:space="preserve">생성 계통시뮬레이터</t>
    </r>
  </si>
  <si>
    <r>
      <rPr>
        <sz val="9"/>
        <color rgb="FFC00000"/>
        <rFont val="Malgun Gothic"/>
        <family val="0"/>
        <charset val="1"/>
      </rPr>
      <t xml:space="preserve">LVRT(</t>
    </r>
    <r>
      <rPr>
        <sz val="9"/>
        <color rgb="FFC00000"/>
        <rFont val="WenQuanYi Zen Hei"/>
        <family val="2"/>
      </rPr>
      <t xml:space="preserve">연계 유지</t>
    </r>
    <r>
      <rPr>
        <sz val="9"/>
        <color rgb="FFC00000"/>
        <rFont val="Malgun Gothic"/>
        <family val="0"/>
        <charset val="1"/>
      </rPr>
      <t xml:space="preserve">) </t>
    </r>
    <r>
      <rPr>
        <sz val="9"/>
        <color rgb="FFC00000"/>
        <rFont val="WenQuanYi Zen Hei"/>
        <family val="2"/>
      </rPr>
      <t xml:space="preserve">요구 아님</t>
    </r>
  </si>
  <si>
    <t xml:space="preserve">부하차단 시험</t>
  </si>
  <si>
    <t xml:space="preserve">출력 과전압 피크 / 지속시간 / 손상</t>
  </si>
  <si>
    <r>
      <rPr>
        <sz val="9"/>
        <rFont val="Malgun Gothic"/>
        <family val="0"/>
        <charset val="1"/>
      </rPr>
      <t xml:space="preserve">V / ms / </t>
    </r>
    <r>
      <rPr>
        <sz val="9"/>
        <rFont val="WenQuanYi Zen Hei"/>
        <family val="2"/>
      </rPr>
      <t xml:space="preserve">양부</t>
    </r>
  </si>
  <si>
    <t xml:space="preserve">부하차단 검출하여 개폐기 개방 및 게이트 블록 동작 (8.7.3.2)</t>
  </si>
  <si>
    <t xml:space="preserve">정격운전 중 부하 급차단</t>
  </si>
  <si>
    <t xml:space="preserve">계통전압 왜형률 내량 시험</t>
  </si>
  <si>
    <t xml:space="preserve">운전유지 여부 / 출력전류 THD 변화</t>
  </si>
  <si>
    <t xml:space="preserve">양부 / %</t>
  </si>
  <si>
    <t xml:space="preserve">종합 왜형률 8 % (3차 5 %, 5차 6 %) 중첩 — 안정 운전, 역률 0.95 이상 (8.8.1.2)</t>
  </si>
  <si>
    <t xml:space="preserve">계통전압에 규정 THD 중첩(차수별 주입)</t>
  </si>
  <si>
    <t xml:space="preserve">고조파 주입 AC소스, 전력분석기</t>
  </si>
  <si>
    <t xml:space="preserve">계통전압 불평형 시험</t>
  </si>
  <si>
    <t xml:space="preserve">운전유지 여부 / 전류 불평형</t>
  </si>
  <si>
    <t xml:space="preserve">비적용</t>
  </si>
  <si>
    <r>
      <rPr>
        <sz val="9"/>
        <rFont val="Malgun Gothic"/>
        <family val="0"/>
        <charset val="1"/>
      </rPr>
      <t xml:space="preserve">3</t>
    </r>
    <r>
      <rPr>
        <sz val="9"/>
        <rFont val="WenQuanYi Zen Hei"/>
        <family val="2"/>
      </rPr>
      <t xml:space="preserve">상 </t>
    </r>
    <r>
      <rPr>
        <sz val="9"/>
        <rFont val="Malgun Gothic"/>
        <family val="0"/>
        <charset val="1"/>
      </rPr>
      <t xml:space="preserve">4</t>
    </r>
    <r>
      <rPr>
        <sz val="9"/>
        <rFont val="WenQuanYi Zen Hei"/>
        <family val="2"/>
      </rPr>
      <t xml:space="preserve">선식에만 적용 </t>
    </r>
    <r>
      <rPr>
        <sz val="9"/>
        <rFont val="Malgun Gothic"/>
        <family val="0"/>
        <charset val="1"/>
      </rPr>
      <t xml:space="preserve">(8.8.2) — </t>
    </r>
    <r>
      <rPr>
        <sz val="9"/>
        <rFont val="WenQuanYi Zen Hei"/>
        <family val="2"/>
      </rPr>
      <t xml:space="preserve">단상 계통연계형 비적용</t>
    </r>
  </si>
  <si>
    <r>
      <rPr>
        <sz val="9"/>
        <rFont val="Malgun Gothic"/>
        <family val="0"/>
        <charset val="1"/>
      </rPr>
      <t xml:space="preserve">3</t>
    </r>
    <r>
      <rPr>
        <sz val="9"/>
        <rFont val="WenQuanYi Zen Hei"/>
        <family val="2"/>
      </rPr>
      <t xml:space="preserve">상 소스 상별 전압 차등</t>
    </r>
    <r>
      <rPr>
        <sz val="9"/>
        <rFont val="Malgun Gothic"/>
        <family val="0"/>
        <charset val="1"/>
      </rPr>
      <t xml:space="preserve">. </t>
    </r>
    <r>
      <rPr>
        <sz val="9"/>
        <rFont val="WenQuanYi Zen Hei"/>
        <family val="2"/>
      </rPr>
      <t xml:space="preserve">단상 적용여부 확인 필요</t>
    </r>
  </si>
  <si>
    <r>
      <rPr>
        <sz val="9"/>
        <rFont val="Malgun Gothic"/>
        <family val="0"/>
        <charset val="1"/>
      </rPr>
      <t xml:space="preserve">3</t>
    </r>
    <r>
      <rPr>
        <sz val="9"/>
        <rFont val="WenQuanYi Zen Hei"/>
        <family val="2"/>
      </rPr>
      <t xml:space="preserve">상 프로그래머블 </t>
    </r>
    <r>
      <rPr>
        <sz val="9"/>
        <rFont val="Malgun Gothic"/>
        <family val="0"/>
        <charset val="1"/>
      </rPr>
      <t xml:space="preserve">AC</t>
    </r>
    <r>
      <rPr>
        <sz val="9"/>
        <rFont val="WenQuanYi Zen Hei"/>
        <family val="2"/>
      </rPr>
      <t xml:space="preserve">소스</t>
    </r>
  </si>
  <si>
    <t xml:space="preserve">부하 불평형 시험</t>
  </si>
  <si>
    <t xml:space="preserve">운전유지 여부 / 상별 전류배분</t>
  </si>
  <si>
    <r>
      <rPr>
        <sz val="9"/>
        <rFont val="Malgun Gothic"/>
        <family val="0"/>
        <charset val="1"/>
      </rPr>
      <t xml:space="preserve">3</t>
    </r>
    <r>
      <rPr>
        <sz val="9"/>
        <rFont val="WenQuanYi Zen Hei"/>
        <family val="2"/>
      </rPr>
      <t xml:space="preserve">상 독립형에만 적용 </t>
    </r>
    <r>
      <rPr>
        <sz val="9"/>
        <rFont val="Malgun Gothic"/>
        <family val="0"/>
        <charset val="1"/>
      </rPr>
      <t xml:space="preserve">(8.8.3), </t>
    </r>
    <r>
      <rPr>
        <sz val="9"/>
        <rFont val="WenQuanYi Zen Hei"/>
        <family val="2"/>
      </rPr>
      <t xml:space="preserve">표 </t>
    </r>
    <r>
      <rPr>
        <sz val="9"/>
        <rFont val="Malgun Gothic"/>
        <family val="0"/>
        <charset val="1"/>
      </rPr>
      <t xml:space="preserve">2 </t>
    </r>
    <r>
      <rPr>
        <sz val="9"/>
        <rFont val="WenQuanYi Zen Hei"/>
        <family val="2"/>
      </rPr>
      <t xml:space="preserve">계통연계형 </t>
    </r>
    <r>
      <rPr>
        <sz val="9"/>
        <rFont val="Malgun Gothic"/>
        <family val="0"/>
        <charset val="1"/>
      </rPr>
      <t xml:space="preserve">×</t>
    </r>
  </si>
  <si>
    <t xml:space="preserve">상별 부하 불평형. 단상 적용여부 확인 필요</t>
  </si>
  <si>
    <r>
      <rPr>
        <sz val="9"/>
        <rFont val="Malgun Gothic"/>
        <family val="0"/>
        <charset val="1"/>
      </rPr>
      <t xml:space="preserve">3</t>
    </r>
    <r>
      <rPr>
        <sz val="9"/>
        <rFont val="WenQuanYi Zen Hei"/>
        <family val="2"/>
      </rPr>
      <t xml:space="preserve">상 부하뱅크</t>
    </r>
  </si>
  <si>
    <t xml:space="preserve">습도 시험</t>
  </si>
  <si>
    <t xml:space="preserve">시험 전/후 절연저항·동작·외관</t>
  </si>
  <si>
    <r>
      <rPr>
        <sz val="9"/>
        <rFont val="Malgun Gothic"/>
        <family val="0"/>
        <charset val="1"/>
      </rPr>
      <t xml:space="preserve">MΩ / </t>
    </r>
    <r>
      <rPr>
        <sz val="9"/>
        <rFont val="WenQuanYi Zen Hei"/>
        <family val="2"/>
      </rPr>
      <t xml:space="preserve">양부</t>
    </r>
  </si>
  <si>
    <t xml:space="preserve">실내용: 40±2 ℃, 92.5±2.5 %RH, 48 h → 2 h 회복 후 절연저항 1 MΩ 이상·내전압 1분 (8.9.1). 모듈 비부착형만</t>
  </si>
  <si>
    <r>
      <rPr>
        <sz val="9"/>
        <rFont val="Malgun Gothic"/>
        <family val="0"/>
        <charset val="1"/>
      </rPr>
      <t xml:space="preserve">IEC 60068-2-78(Cab). </t>
    </r>
    <r>
      <rPr>
        <sz val="9"/>
        <rFont val="WenQuanYi Zen Hei"/>
        <family val="2"/>
      </rPr>
      <t xml:space="preserve">시험 전 초기값 측정 필수</t>
    </r>
  </si>
  <si>
    <t xml:space="preserve">항온항습조, 절연저항계</t>
  </si>
  <si>
    <r>
      <rPr>
        <sz val="9"/>
        <color rgb="FFC00000"/>
        <rFont val="Malgun Gothic"/>
        <family val="0"/>
        <charset val="1"/>
      </rPr>
      <t xml:space="preserve">V1 0.2 mm </t>
    </r>
    <r>
      <rPr>
        <sz val="9"/>
        <color rgb="FFC00000"/>
        <rFont val="WenQuanYi Zen Hei"/>
        <family val="2"/>
      </rPr>
      <t xml:space="preserve">간극이 최대 위험점</t>
    </r>
  </si>
  <si>
    <t xml:space="preserve">온습도 사이클 시험</t>
  </si>
  <si>
    <t xml:space="preserve">사이클 전/후 절연저항·내전압·동작·외관</t>
  </si>
  <si>
    <t xml:space="preserve">실외용: KS C IEC 60068-2-38, 24 h 사이클 5회 → 절연저항 1 MΩ 이상·내전압 1분 (8.9.2). 모듈 비부착형만</t>
  </si>
  <si>
    <r>
      <rPr>
        <sz val="9"/>
        <rFont val="Malgun Gothic"/>
        <family val="0"/>
        <charset val="1"/>
      </rPr>
      <t xml:space="preserve">IEC 60068-2-30(Db). </t>
    </r>
    <r>
      <rPr>
        <sz val="9"/>
        <rFont val="WenQuanYi Zen Hei"/>
        <family val="2"/>
      </rPr>
      <t xml:space="preserve">시험 전 초기값 측정 필수</t>
    </r>
  </si>
  <si>
    <t xml:space="preserve">항온항습조, 절연저항계, 내전압시험기</t>
  </si>
  <si>
    <t xml:space="preserve">전자파 장해(EMI)</t>
  </si>
  <si>
    <t xml:space="preserve">전도방출 / 방사방출 (한계선 대비 마진)</t>
  </si>
  <si>
    <t xml:space="preserve">dBμV, dBμV/m (dB)</t>
  </si>
  <si>
    <t xml:space="preserve">주거·상업·경공업 KS C 9610-6-3 / 산업 9610-6-4 — 잡음 단자전압·전계강도 (8.10.1)</t>
  </si>
  <si>
    <r>
      <rPr>
        <sz val="9"/>
        <rFont val="Malgun Gothic"/>
        <family val="0"/>
        <charset val="1"/>
      </rPr>
      <t xml:space="preserve">CISPR 11 Group1 Class A/B </t>
    </r>
    <r>
      <rPr>
        <sz val="9"/>
        <rFont val="WenQuanYi Zen Hei"/>
        <family val="2"/>
      </rPr>
      <t xml:space="preserve">확정 필요</t>
    </r>
    <r>
      <rPr>
        <sz val="9"/>
        <rFont val="Malgun Gothic"/>
        <family val="0"/>
        <charset val="1"/>
      </rPr>
      <t xml:space="preserve">. QP/AV. AC·DC </t>
    </r>
    <r>
      <rPr>
        <sz val="9"/>
        <rFont val="WenQuanYi Zen Hei"/>
        <family val="2"/>
      </rPr>
      <t xml:space="preserve">포트</t>
    </r>
  </si>
  <si>
    <r>
      <rPr>
        <sz val="9"/>
        <rFont val="Malgun Gothic"/>
        <family val="0"/>
        <charset val="1"/>
      </rPr>
      <t xml:space="preserve">EMI</t>
    </r>
    <r>
      <rPr>
        <sz val="9"/>
        <rFont val="WenQuanYi Zen Hei"/>
        <family val="2"/>
      </rPr>
      <t xml:space="preserve">수신기</t>
    </r>
    <r>
      <rPr>
        <sz val="9"/>
        <rFont val="Malgun Gothic"/>
        <family val="0"/>
        <charset val="1"/>
      </rPr>
      <t xml:space="preserve">(CISPR 16-1-1), LISN, </t>
    </r>
    <r>
      <rPr>
        <sz val="9"/>
        <rFont val="WenQuanYi Zen Hei"/>
        <family val="2"/>
      </rPr>
      <t xml:space="preserve">안테나</t>
    </r>
    <r>
      <rPr>
        <sz val="9"/>
        <rFont val="Malgun Gothic"/>
        <family val="0"/>
        <charset val="1"/>
      </rPr>
      <t xml:space="preserve">, </t>
    </r>
    <r>
      <rPr>
        <sz val="9"/>
        <rFont val="WenQuanYi Zen Hei"/>
        <family val="2"/>
      </rPr>
      <t xml:space="preserve">무향실</t>
    </r>
  </si>
  <si>
    <t xml:space="preserve">무선(ESP32)은 전파법 적합성평가 별도</t>
  </si>
  <si>
    <t xml:space="preserve">전자파 내성(EMS)</t>
  </si>
  <si>
    <t xml:space="preserve">시험별 성능판정 (A/B/C)</t>
  </si>
  <si>
    <t xml:space="preserve">kV / V/m / V / A/m</t>
  </si>
  <si>
    <t xml:space="preserve">주거·상업·경공업 KS C 9610-6-1 / 산업 9610-6-2, 직류 단자 제외 (8.10.2)</t>
  </si>
  <si>
    <r>
      <rPr>
        <sz val="9"/>
        <rFont val="Malgun Gothic"/>
        <family val="0"/>
        <charset val="1"/>
      </rPr>
      <t xml:space="preserve">61000-4-2/-3/-4/-5/-6/-8/-11. </t>
    </r>
    <r>
      <rPr>
        <sz val="9"/>
        <rFont val="WenQuanYi Zen Hei"/>
        <family val="2"/>
      </rPr>
      <t xml:space="preserve">옥외설치라 서지</t>
    </r>
    <r>
      <rPr>
        <sz val="9"/>
        <rFont val="Malgun Gothic"/>
        <family val="0"/>
        <charset val="1"/>
      </rPr>
      <t xml:space="preserve">(4-5) </t>
    </r>
    <r>
      <rPr>
        <sz val="9"/>
        <rFont val="WenQuanYi Zen Hei"/>
        <family val="2"/>
      </rPr>
      <t xml:space="preserve">중요</t>
    </r>
  </si>
  <si>
    <r>
      <rPr>
        <sz val="9"/>
        <rFont val="Malgun Gothic"/>
        <family val="0"/>
        <charset val="1"/>
      </rPr>
      <t xml:space="preserve">ESD</t>
    </r>
    <r>
      <rPr>
        <sz val="9"/>
        <rFont val="WenQuanYi Zen Hei"/>
        <family val="2"/>
      </rPr>
      <t xml:space="preserve">건</t>
    </r>
    <r>
      <rPr>
        <sz val="9"/>
        <rFont val="Malgun Gothic"/>
        <family val="0"/>
        <charset val="1"/>
      </rPr>
      <t xml:space="preserve">, RS/CS </t>
    </r>
    <r>
      <rPr>
        <sz val="9"/>
        <rFont val="WenQuanYi Zen Hei"/>
        <family val="2"/>
      </rPr>
      <t xml:space="preserve">시스템</t>
    </r>
    <r>
      <rPr>
        <sz val="9"/>
        <rFont val="Malgun Gothic"/>
        <family val="0"/>
        <charset val="1"/>
      </rPr>
      <t xml:space="preserve">, EFT/</t>
    </r>
    <r>
      <rPr>
        <sz val="9"/>
        <rFont val="WenQuanYi Zen Hei"/>
        <family val="2"/>
      </rPr>
      <t xml:space="preserve">서지 발생기</t>
    </r>
  </si>
  <si>
    <t xml:space="preserve">효율 시험 (검사항목 14) — 출력레벨별 효율 및 가중효율</t>
  </si>
  <si>
    <t xml:space="preserve">노란 칸에 측정 효율(%)을 입력하면 EU·CEC 가중효율이 자동 계산됩니다.</t>
  </si>
  <si>
    <t xml:space="preserve">출력레벨</t>
  </si>
  <si>
    <r>
      <rPr>
        <b val="true"/>
        <sz val="10"/>
        <color rgb="FFFFFFFF"/>
        <rFont val="Malgun Gothic"/>
        <family val="0"/>
        <charset val="1"/>
      </rPr>
      <t xml:space="preserve">EU </t>
    </r>
    <r>
      <rPr>
        <b val="true"/>
        <sz val="10"/>
        <color rgb="FFFFFFFF"/>
        <rFont val="WenQuanYi Zen Hei"/>
        <family val="2"/>
      </rPr>
      <t xml:space="preserve">가중계수</t>
    </r>
  </si>
  <si>
    <r>
      <rPr>
        <b val="true"/>
        <sz val="10"/>
        <color rgb="FFFFFFFF"/>
        <rFont val="Malgun Gothic"/>
        <family val="0"/>
        <charset val="1"/>
      </rPr>
      <t xml:space="preserve">CEC </t>
    </r>
    <r>
      <rPr>
        <b val="true"/>
        <sz val="10"/>
        <color rgb="FFFFFFFF"/>
        <rFont val="WenQuanYi Zen Hei"/>
        <family val="2"/>
      </rPr>
      <t xml:space="preserve">가중계수</t>
    </r>
  </si>
  <si>
    <t xml:space="preserve">측정효율 (%)</t>
  </si>
  <si>
    <r>
      <rPr>
        <b val="true"/>
        <sz val="10"/>
        <color rgb="FFFFFFFF"/>
        <rFont val="Malgun Gothic"/>
        <family val="0"/>
        <charset val="1"/>
      </rPr>
      <t xml:space="preserve">EU </t>
    </r>
    <r>
      <rPr>
        <b val="true"/>
        <sz val="10"/>
        <color rgb="FFFFFFFF"/>
        <rFont val="WenQuanYi Zen Hei"/>
        <family val="2"/>
      </rPr>
      <t xml:space="preserve">기여</t>
    </r>
  </si>
  <si>
    <r>
      <rPr>
        <b val="true"/>
        <sz val="10"/>
        <color rgb="FFFFFFFF"/>
        <rFont val="Malgun Gothic"/>
        <family val="0"/>
        <charset val="1"/>
      </rPr>
      <t xml:space="preserve">CEC </t>
    </r>
    <r>
      <rPr>
        <b val="true"/>
        <sz val="10"/>
        <color rgb="FFFFFFFF"/>
        <rFont val="WenQuanYi Zen Hei"/>
        <family val="2"/>
      </rPr>
      <t xml:space="preserve">기여</t>
    </r>
  </si>
  <si>
    <t xml:space="preserve">계수 합</t>
  </si>
  <si>
    <t xml:space="preserve">가중효율 (%)</t>
  </si>
  <si>
    <r>
      <rPr>
        <i val="true"/>
        <sz val="9"/>
        <rFont val="Malgun Gothic"/>
        <family val="0"/>
        <charset val="1"/>
      </rPr>
      <t xml:space="preserve">← B</t>
    </r>
    <r>
      <rPr>
        <i val="true"/>
        <sz val="9"/>
        <rFont val="WenQuanYi Zen Hei"/>
        <family val="2"/>
      </rPr>
      <t xml:space="preserve">열</t>
    </r>
    <r>
      <rPr>
        <i val="true"/>
        <sz val="9"/>
        <rFont val="Malgun Gothic"/>
        <family val="0"/>
        <charset val="1"/>
      </rPr>
      <t xml:space="preserve">=EU </t>
    </r>
    <r>
      <rPr>
        <i val="true"/>
        <sz val="9"/>
        <rFont val="WenQuanYi Zen Hei"/>
        <family val="2"/>
      </rPr>
      <t xml:space="preserve">가중효율</t>
    </r>
    <r>
      <rPr>
        <i val="true"/>
        <sz val="9"/>
        <rFont val="Malgun Gothic"/>
        <family val="0"/>
        <charset val="1"/>
      </rPr>
      <t xml:space="preserve">, C</t>
    </r>
    <r>
      <rPr>
        <i val="true"/>
        <sz val="9"/>
        <rFont val="WenQuanYi Zen Hei"/>
        <family val="2"/>
      </rPr>
      <t xml:space="preserve">열</t>
    </r>
    <r>
      <rPr>
        <i val="true"/>
        <sz val="9"/>
        <rFont val="Malgun Gothic"/>
        <family val="0"/>
        <charset val="1"/>
      </rPr>
      <t xml:space="preserve">=CEC </t>
    </r>
    <r>
      <rPr>
        <i val="true"/>
        <sz val="9"/>
        <rFont val="WenQuanYi Zen Hei"/>
        <family val="2"/>
      </rPr>
      <t xml:space="preserve">가중효율</t>
    </r>
  </si>
  <si>
    <r>
      <rPr>
        <b val="true"/>
        <sz val="11"/>
        <rFont val="Malgun Gothic"/>
        <family val="0"/>
        <charset val="1"/>
      </rPr>
      <t xml:space="preserve">KS </t>
    </r>
    <r>
      <rPr>
        <b val="true"/>
        <sz val="11"/>
        <rFont val="WenQuanYi Zen Hei"/>
        <family val="2"/>
      </rPr>
      <t xml:space="preserve">판정</t>
    </r>
  </si>
  <si>
    <r>
      <rPr>
        <i val="true"/>
        <sz val="9"/>
        <rFont val="Malgun Gothic"/>
        <family val="0"/>
        <charset val="1"/>
      </rPr>
      <t xml:space="preserve">← KS C 8560:2020 8.5.5.2 EURO </t>
    </r>
    <r>
      <rPr>
        <i val="true"/>
        <sz val="9"/>
        <rFont val="WenQuanYi Zen Hei"/>
        <family val="2"/>
      </rPr>
      <t xml:space="preserve">효율 </t>
    </r>
    <r>
      <rPr>
        <i val="true"/>
        <sz val="9"/>
        <rFont val="Malgun Gothic"/>
        <family val="0"/>
        <charset val="1"/>
      </rPr>
      <t xml:space="preserve">90 % </t>
    </r>
    <r>
      <rPr>
        <i val="true"/>
        <sz val="9"/>
        <rFont val="WenQuanYi Zen Hei"/>
        <family val="2"/>
      </rPr>
      <t xml:space="preserve">이상 </t>
    </r>
    <r>
      <rPr>
        <i val="true"/>
        <sz val="9"/>
        <rFont val="Malgun Gothic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독립형 </t>
    </r>
    <r>
      <rPr>
        <i val="true"/>
        <sz val="9"/>
        <rFont val="Malgun Gothic"/>
        <family val="0"/>
        <charset val="1"/>
      </rPr>
      <t xml:space="preserve">85 %)</t>
    </r>
  </si>
  <si>
    <t xml:space="preserve">가중계수 출처 및 주의</t>
  </si>
  <si>
    <r>
      <rPr>
        <sz val="9"/>
        <rFont val="Malgun Gothic"/>
        <family val="0"/>
        <charset val="1"/>
      </rPr>
      <t xml:space="preserve">• KS C 8560:2020 8.5.5.2</t>
    </r>
    <r>
      <rPr>
        <sz val="9"/>
        <rFont val="WenQuanYi Zen Hei"/>
        <family val="2"/>
      </rPr>
      <t xml:space="preserve">가 </t>
    </r>
    <r>
      <rPr>
        <sz val="9"/>
        <rFont val="Malgun Gothic"/>
        <family val="0"/>
        <charset val="1"/>
      </rPr>
      <t xml:space="preserve">EU </t>
    </r>
    <r>
      <rPr>
        <sz val="9"/>
        <rFont val="WenQuanYi Zen Hei"/>
        <family val="2"/>
      </rPr>
      <t xml:space="preserve">가중식</t>
    </r>
    <r>
      <rPr>
        <sz val="9"/>
        <rFont val="Malgun Gothic"/>
        <family val="0"/>
        <charset val="1"/>
      </rPr>
      <t xml:space="preserve">(EURO </t>
    </r>
    <r>
      <rPr>
        <sz val="9"/>
        <rFont val="WenQuanYi Zen Hei"/>
        <family val="2"/>
      </rPr>
      <t xml:space="preserve">효율</t>
    </r>
    <r>
      <rPr>
        <sz val="9"/>
        <rFont val="Malgun Gothic"/>
        <family val="0"/>
        <charset val="1"/>
      </rPr>
      <t xml:space="preserve">)</t>
    </r>
    <r>
      <rPr>
        <sz val="9"/>
        <rFont val="WenQuanYi Zen Hei"/>
        <family val="2"/>
      </rPr>
      <t xml:space="preserve">을 규정합니다 — </t>
    </r>
    <r>
      <rPr>
        <sz val="9"/>
        <rFont val="Malgun Gothic"/>
        <family val="0"/>
        <charset val="1"/>
      </rPr>
      <t xml:space="preserve">B</t>
    </r>
    <r>
      <rPr>
        <sz val="9"/>
        <rFont val="WenQuanYi Zen Hei"/>
        <family val="2"/>
      </rPr>
      <t xml:space="preserve">열</t>
    </r>
    <r>
      <rPr>
        <sz val="9"/>
        <rFont val="Malgun Gothic"/>
        <family val="0"/>
        <charset val="1"/>
      </rPr>
      <t xml:space="preserve">(EU)</t>
    </r>
    <r>
      <rPr>
        <sz val="9"/>
        <rFont val="WenQuanYi Zen Hei"/>
        <family val="2"/>
      </rPr>
      <t xml:space="preserve">이 판정값이며 </t>
    </r>
    <r>
      <rPr>
        <sz val="9"/>
        <rFont val="Malgun Gothic"/>
        <family val="0"/>
        <charset val="1"/>
      </rPr>
      <t xml:space="preserve">C</t>
    </r>
    <r>
      <rPr>
        <sz val="9"/>
        <rFont val="WenQuanYi Zen Hei"/>
        <family val="2"/>
      </rPr>
      <t xml:space="preserve">열</t>
    </r>
    <r>
      <rPr>
        <sz val="9"/>
        <rFont val="Malgun Gothic"/>
        <family val="0"/>
        <charset val="1"/>
      </rPr>
      <t xml:space="preserve">(CEC)</t>
    </r>
    <r>
      <rPr>
        <sz val="9"/>
        <rFont val="WenQuanYi Zen Hei"/>
        <family val="2"/>
      </rPr>
      <t xml:space="preserve">은 참고용입니다</t>
    </r>
    <r>
      <rPr>
        <sz val="9"/>
        <rFont val="Malgun Gothic"/>
        <family val="0"/>
        <charset val="1"/>
      </rPr>
      <t xml:space="preserve">.</t>
    </r>
  </si>
  <si>
    <t xml:space="preserve">• 판정 기준: 계통연계형 EURO 효율 90 % 이상, 독립형 85 % 이상. 측정점 5·10·20·30·50·100 % (75 %는 EU 식에 미사용).</t>
  </si>
  <si>
    <r>
      <rPr>
        <sz val="9"/>
        <rFont val="Malgun Gothic"/>
        <family val="0"/>
        <charset val="1"/>
      </rPr>
      <t xml:space="preserve">• EU</t>
    </r>
    <r>
      <rPr>
        <sz val="9"/>
        <rFont val="WenQuanYi Zen Hei"/>
        <family val="2"/>
      </rPr>
      <t xml:space="preserve">는 </t>
    </r>
    <r>
      <rPr>
        <sz val="9"/>
        <rFont val="Malgun Gothic"/>
        <family val="0"/>
        <charset val="1"/>
      </rPr>
      <t xml:space="preserve">50% </t>
    </r>
    <r>
      <rPr>
        <sz val="9"/>
        <rFont val="WenQuanYi Zen Hei"/>
        <family val="2"/>
      </rPr>
      <t xml:space="preserve">부하</t>
    </r>
    <r>
      <rPr>
        <sz val="9"/>
        <rFont val="Malgun Gothic"/>
        <family val="0"/>
        <charset val="1"/>
      </rPr>
      <t xml:space="preserve">, CEC</t>
    </r>
    <r>
      <rPr>
        <sz val="9"/>
        <rFont val="WenQuanYi Zen Hei"/>
        <family val="2"/>
      </rPr>
      <t xml:space="preserve">는 </t>
    </r>
    <r>
      <rPr>
        <sz val="9"/>
        <rFont val="Malgun Gothic"/>
        <family val="0"/>
        <charset val="1"/>
      </rPr>
      <t xml:space="preserve">75% </t>
    </r>
    <r>
      <rPr>
        <sz val="9"/>
        <rFont val="WenQuanYi Zen Hei"/>
        <family val="2"/>
      </rPr>
      <t xml:space="preserve">부하에 가중치가 집중되므로 어느 식이냐에 따라 최적화 대상 구간이 달라집니다</t>
    </r>
    <r>
      <rPr>
        <sz val="9"/>
        <rFont val="Malgun Gothic"/>
        <family val="0"/>
        <charset val="1"/>
      </rPr>
      <t xml:space="preserve">.</t>
    </r>
  </si>
  <si>
    <t xml:space="preserve">• 측정 시 입력전압 레벨(V_mpp min / nom / max)별로 이 표를 각각 작성하십시오.</t>
  </si>
  <si>
    <t xml:space="preserve">• 전력분석기 기본확도가 0.05% 급이 아니면 합불 판정에 필요한 분해능이 나오지 않습니다.</t>
  </si>
  <si>
    <t xml:space="preserve">시험 이력 — 측정 조건 기록</t>
  </si>
  <si>
    <t xml:space="preserve">재현성 분쟁을 막으려면 아래 항목을 매 측정마다 남기십시오. 특히 FW 버전은 보호 정정치가 파라미터화되면 성적서 유효성을 좌우합니다.</t>
  </si>
  <si>
    <t xml:space="preserve">시험일시</t>
  </si>
  <si>
    <t xml:space="preserve">시험자</t>
  </si>
  <si>
    <t xml:space="preserve">시료 S/N</t>
  </si>
  <si>
    <r>
      <rPr>
        <b val="true"/>
        <sz val="10"/>
        <color rgb="FFFFFFFF"/>
        <rFont val="Malgun Gothic"/>
        <family val="0"/>
        <charset val="1"/>
      </rPr>
      <t xml:space="preserve">HW </t>
    </r>
    <r>
      <rPr>
        <b val="true"/>
        <sz val="10"/>
        <color rgb="FFFFFFFF"/>
        <rFont val="WenQuanYi Zen Hei"/>
        <family val="2"/>
      </rPr>
      <t xml:space="preserve">리비전</t>
    </r>
  </si>
  <si>
    <r>
      <rPr>
        <b val="true"/>
        <sz val="10"/>
        <color rgb="FFFFFFFF"/>
        <rFont val="Malgun Gothic"/>
        <family val="0"/>
        <charset val="1"/>
      </rPr>
      <t xml:space="preserve">FW </t>
    </r>
    <r>
      <rPr>
        <b val="true"/>
        <sz val="10"/>
        <color rgb="FFFFFFFF"/>
        <rFont val="WenQuanYi Zen Hei"/>
        <family val="2"/>
      </rPr>
      <t xml:space="preserve">버전</t>
    </r>
  </si>
  <si>
    <t xml:space="preserve">주위온도 (°C)</t>
  </si>
  <si>
    <t xml:space="preserve">습도 (%RH)</t>
  </si>
  <si>
    <t xml:space="preserve">시험 항목번호</t>
  </si>
  <si>
    <t xml:space="preserve">계측기 모델</t>
  </si>
  <si>
    <t xml:space="preserve">계측기 S/N</t>
  </si>
  <si>
    <t xml:space="preserve">교정 유효일</t>
  </si>
  <si>
    <t xml:space="preserve">특이사항</t>
  </si>
  <si>
    <t xml:space="preserve">판정 집계</t>
  </si>
  <si>
    <t xml:space="preserve">항목 수</t>
  </si>
  <si>
    <t xml:space="preserve">불합격</t>
  </si>
  <si>
    <t xml:space="preserve">미측정</t>
  </si>
  <si>
    <t xml:space="preserve">판정 결과</t>
  </si>
  <si>
    <t xml:space="preserve">※ 치명결함은 통상 1건으로 불합격입니다. 중·경결함 허용 개수는 심사기준 본문의 합부판정 조항을 확인해 이 시트에 반영하십시오.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</si>
</sst>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%"/>
    <numFmt numFmtId="167" formatCode="0.00"/>
    <numFmt numFmtId="168" formatCode="0.000"/>
    <numFmt numFmtId="169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WenQuanYi Zen Hei"/>
      <family val="2"/>
      <charset val="1"/>
    </font>
    <font>
      <b val="true"/>
      <sz val="12"/>
      <name val="Malgun Gothic"/>
      <family val="0"/>
      <charset val="1"/>
    </font>
    <font>
      <b val="true"/>
      <sz val="12"/>
      <name val="WenQuanYi Zen Hei"/>
      <family val="2"/>
    </font>
    <font>
      <b val="true"/>
      <sz val="10"/>
      <name val="WenQuanYi Zen Hei"/>
      <family val="2"/>
      <charset val="1"/>
    </font>
    <font>
      <sz val="10"/>
      <name val="Malgun Gothic"/>
      <family val="0"/>
      <charset val="1"/>
    </font>
    <font>
      <sz val="10"/>
      <name val="WenQuanYi Zen Hei"/>
      <family val="2"/>
    </font>
    <font>
      <sz val="10"/>
      <name val="WenQuanYi Zen Hei"/>
      <family val="2"/>
      <charset val="1"/>
    </font>
    <font>
      <b val="true"/>
      <sz val="9"/>
      <color rgb="FFFFFFFF"/>
      <name val="WenQuanYi Zen Hei"/>
      <family val="2"/>
      <charset val="1"/>
    </font>
    <font>
      <sz val="9"/>
      <name val="Malgun Gothic"/>
      <family val="0"/>
      <charset val="1"/>
    </font>
    <font>
      <sz val="9"/>
      <name val="WenQuanYi Zen Hei"/>
      <family val="2"/>
      <charset val="1"/>
    </font>
    <font>
      <i val="true"/>
      <sz val="9"/>
      <color rgb="FFC0000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sz val="9"/>
      <name val="WenQuanYi Zen Hei"/>
      <family val="2"/>
    </font>
    <font>
      <sz val="9"/>
      <color rgb="FF0000FF"/>
      <name val="Malgun Gothic"/>
      <family val="0"/>
      <charset val="1"/>
    </font>
    <font>
      <b val="true"/>
      <sz val="9"/>
      <name val="Malgun Gothic"/>
      <family val="0"/>
      <charset val="1"/>
    </font>
    <font>
      <b val="true"/>
      <sz val="9"/>
      <color rgb="FFC00000"/>
      <name val="WenQuanYi Zen Hei"/>
      <family val="2"/>
      <charset val="1"/>
    </font>
    <font>
      <sz val="9"/>
      <color rgb="FFC00000"/>
      <name val="Malgun Gothic"/>
      <family val="0"/>
      <charset val="1"/>
    </font>
    <font>
      <sz val="9"/>
      <color rgb="FFC00000"/>
      <name val="WenQuanYi Zen Hei"/>
      <family val="2"/>
    </font>
    <font>
      <sz val="9"/>
      <color rgb="FFC00000"/>
      <name val="WenQuanYi Zen Hei"/>
      <family val="2"/>
      <charset val="1"/>
    </font>
    <font>
      <sz val="9"/>
      <color rgb="FF0000FF"/>
      <name val="WenQuanYi Zen Hei"/>
      <family val="2"/>
      <charset val="1"/>
    </font>
    <font>
      <b val="true"/>
      <sz val="14"/>
      <color rgb="FF1F3864"/>
      <name val="WenQuanYi Zen Hei"/>
      <family val="2"/>
      <charset val="1"/>
    </font>
    <font>
      <i val="true"/>
      <sz val="9"/>
      <name val="WenQuanYi Zen Hei"/>
      <family val="2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Malgun Gothic"/>
      <family val="0"/>
      <charset val="1"/>
    </font>
    <font>
      <b val="true"/>
      <sz val="11"/>
      <name val="WenQuanYi Zen Hei"/>
      <family val="2"/>
      <charset val="1"/>
    </font>
    <font>
      <b val="true"/>
      <sz val="11"/>
      <name val="Malgun Gothic"/>
      <family val="0"/>
      <charset val="1"/>
    </font>
    <font>
      <i val="true"/>
      <sz val="9"/>
      <name val="Malgun Gothic"/>
      <family val="0"/>
      <charset val="1"/>
    </font>
    <font>
      <i val="true"/>
      <sz val="9"/>
      <name val="WenQuanYi Zen Hei"/>
      <family val="2"/>
    </font>
    <font>
      <b val="true"/>
      <sz val="11"/>
      <name val="WenQuanYi Zen Hei"/>
      <family val="2"/>
    </font>
    <font>
      <b val="true"/>
      <sz val="11"/>
      <color rgb="FFC00000"/>
      <name val="WenQuanYi Zen Hei"/>
      <family val="2"/>
      <charset val="1"/>
    </font>
    <font>
      <b val="true"/>
      <sz val="12"/>
      <name val="WenQuanYi Zen Hei"/>
      <family val="2"/>
      <charset val="1"/>
    </font>
    <font>
      <b val="true"/>
      <sz val="12"/>
      <color rgb="FFC00000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D6D6"/>
        <bgColor rgb="FFD9E2F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11" min="3" style="1" width="15"/>
  </cols>
  <sheetData>
    <row r="1" customFormat="false" ht="19.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15" hidden="false" customHeight="true" outlineLevel="0" collapsed="false">
      <c r="A7" s="4" t="s">
        <v>8</v>
      </c>
      <c r="B7" s="6" t="s">
        <v>9</v>
      </c>
    </row>
    <row r="9" customFormat="false" ht="15.75" hidden="false" customHeight="true" outlineLevel="0" collapsed="false">
      <c r="A9" s="3" t="s">
        <v>10</v>
      </c>
    </row>
    <row r="10" customFormat="false" ht="15" hidden="false" customHeight="true" outlineLevel="0" collapsed="false">
      <c r="A10" s="7" t="s">
        <v>11</v>
      </c>
      <c r="B10" s="6" t="s">
        <v>12</v>
      </c>
    </row>
    <row r="11" customFormat="false" ht="15" hidden="false" customHeight="true" outlineLevel="0" collapsed="false">
      <c r="A11" s="4" t="s">
        <v>13</v>
      </c>
      <c r="B11" s="6" t="s">
        <v>14</v>
      </c>
    </row>
    <row r="12" customFormat="false" ht="15" hidden="false" customHeight="true" outlineLevel="0" collapsed="false">
      <c r="A12" s="4" t="s">
        <v>15</v>
      </c>
      <c r="B12" s="6" t="s">
        <v>16</v>
      </c>
    </row>
    <row r="14" customFormat="false" ht="15.75" hidden="false" customHeight="true" outlineLevel="0" collapsed="false">
      <c r="A14" s="3" t="s">
        <v>17</v>
      </c>
    </row>
    <row r="15" customFormat="false" ht="15" hidden="false" customHeight="true" outlineLevel="0" collapsed="false">
      <c r="A15" s="4" t="s">
        <v>18</v>
      </c>
      <c r="B15" s="6" t="s">
        <v>19</v>
      </c>
    </row>
    <row r="16" customFormat="false" ht="15" hidden="false" customHeight="true" outlineLevel="0" collapsed="false">
      <c r="A16" s="4" t="s">
        <v>20</v>
      </c>
      <c r="B16" s="6" t="s">
        <v>21</v>
      </c>
    </row>
    <row r="17" customFormat="false" ht="15" hidden="false" customHeight="true" outlineLevel="0" collapsed="false">
      <c r="A17" s="4" t="s">
        <v>22</v>
      </c>
      <c r="B17" s="6" t="s">
        <v>23</v>
      </c>
    </row>
    <row r="19" customFormat="false" ht="15.75" hidden="false" customHeight="true" outlineLevel="0" collapsed="false">
      <c r="A19" s="3" t="s">
        <v>24</v>
      </c>
    </row>
    <row r="20" customFormat="false" ht="15" hidden="false" customHeight="true" outlineLevel="0" collapsed="false">
      <c r="A20" s="8" t="s">
        <v>25</v>
      </c>
      <c r="B20" s="8" t="s">
        <v>26</v>
      </c>
      <c r="C20" s="8" t="s">
        <v>27</v>
      </c>
      <c r="D20" s="8" t="s">
        <v>28</v>
      </c>
      <c r="E20" s="8" t="s">
        <v>29</v>
      </c>
      <c r="F20" s="8" t="s">
        <v>30</v>
      </c>
      <c r="G20" s="8" t="s">
        <v>31</v>
      </c>
      <c r="H20" s="8" t="s">
        <v>32</v>
      </c>
    </row>
    <row r="21" customFormat="false" ht="15" hidden="false" customHeight="true" outlineLevel="0" collapsed="false">
      <c r="A21" s="9" t="n">
        <v>11</v>
      </c>
      <c r="B21" s="10" t="s">
        <v>33</v>
      </c>
      <c r="C21" s="10" t="s">
        <v>20</v>
      </c>
      <c r="D21" s="9" t="n">
        <v>5</v>
      </c>
      <c r="E21" s="9" t="n">
        <v>3.2</v>
      </c>
      <c r="F21" s="9"/>
      <c r="G21" s="11" t="n">
        <v>0.36</v>
      </c>
      <c r="H21" s="10" t="s">
        <v>34</v>
      </c>
    </row>
    <row r="22" customFormat="false" ht="15" hidden="false" customHeight="true" outlineLevel="0" collapsed="false">
      <c r="A22" s="9" t="n">
        <v>2</v>
      </c>
      <c r="B22" s="10" t="s">
        <v>35</v>
      </c>
      <c r="C22" s="10" t="s">
        <v>18</v>
      </c>
      <c r="D22" s="9" t="n">
        <v>1</v>
      </c>
      <c r="E22" s="9" t="n">
        <v>120</v>
      </c>
      <c r="F22" s="9"/>
      <c r="G22" s="11" t="n">
        <v>119</v>
      </c>
      <c r="H22" s="10" t="s">
        <v>34</v>
      </c>
    </row>
    <row r="23" customFormat="false" ht="15" hidden="false" customHeight="true" outlineLevel="0" collapsed="false">
      <c r="A23" s="9" t="n">
        <v>22</v>
      </c>
      <c r="B23" s="10" t="s">
        <v>36</v>
      </c>
      <c r="C23" s="10" t="s">
        <v>22</v>
      </c>
      <c r="D23" s="9"/>
      <c r="E23" s="9"/>
      <c r="F23" s="10" t="s">
        <v>34</v>
      </c>
      <c r="G23" s="11"/>
      <c r="H23" s="10" t="s">
        <v>34</v>
      </c>
    </row>
    <row r="25" customFormat="false" ht="15" hidden="false" customHeight="true" outlineLevel="0" collapsed="false">
      <c r="A25" s="12" t="s">
        <v>37</v>
      </c>
    </row>
    <row r="27" customFormat="false" ht="15.75" hidden="false" customHeight="true" outlineLevel="0" collapsed="false">
      <c r="A27" s="3" t="s">
        <v>38</v>
      </c>
    </row>
    <row r="28" customFormat="false" ht="15" hidden="false" customHeight="true" outlineLevel="0" collapsed="false">
      <c r="A28" s="5" t="s">
        <v>39</v>
      </c>
    </row>
    <row r="29" customFormat="false" ht="15" hidden="false" customHeight="true" outlineLevel="0" collapsed="false">
      <c r="A29" s="6" t="s">
        <v>40</v>
      </c>
    </row>
    <row r="30" customFormat="false" ht="15" hidden="false" customHeight="true" outlineLevel="0" collapsed="false">
      <c r="A30" s="6" t="s">
        <v>41</v>
      </c>
    </row>
    <row r="31" customFormat="false" ht="15" hidden="false" customHeight="true" outlineLevel="0" collapsed="false">
      <c r="A31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9"/>
    <col collapsed="false" customWidth="true" hidden="false" outlineLevel="0" max="8" min="7" style="1" width="12"/>
    <col collapsed="false" customWidth="true" hidden="false" outlineLevel="0" max="11" min="9" style="1" width="10"/>
    <col collapsed="false" customWidth="true" hidden="false" outlineLevel="0" max="12" min="12" style="1" width="60"/>
    <col collapsed="false" customWidth="true" hidden="false" outlineLevel="0" max="13" min="13" style="1" width="44"/>
    <col collapsed="false" customWidth="true" hidden="false" outlineLevel="0" max="14" min="14" style="1" width="38"/>
    <col collapsed="false" customWidth="true" hidden="false" outlineLevel="0" max="15" min="15" style="1" width="34"/>
  </cols>
  <sheetData>
    <row r="1" customFormat="false" ht="19.5" hidden="false" customHeight="true" outlineLevel="0" collapsed="false">
      <c r="A1" s="2" t="s">
        <v>43</v>
      </c>
    </row>
    <row r="2" customFormat="false" ht="15" hidden="false" customHeight="true" outlineLevel="0" collapsed="false">
      <c r="A2" s="12" t="s">
        <v>44</v>
      </c>
    </row>
    <row r="4" customFormat="false" ht="15" hidden="false" customHeight="true" outlineLevel="0" collapsed="false">
      <c r="A4" s="13" t="s">
        <v>25</v>
      </c>
      <c r="B4" s="13" t="s">
        <v>26</v>
      </c>
      <c r="C4" s="13" t="s">
        <v>45</v>
      </c>
      <c r="D4" s="13" t="s">
        <v>46</v>
      </c>
      <c r="E4" s="13" t="s">
        <v>47</v>
      </c>
      <c r="F4" s="13" t="s">
        <v>27</v>
      </c>
      <c r="G4" s="13" t="s">
        <v>28</v>
      </c>
      <c r="H4" s="13" t="s">
        <v>29</v>
      </c>
      <c r="I4" s="13" t="s">
        <v>30</v>
      </c>
      <c r="J4" s="13" t="s">
        <v>31</v>
      </c>
      <c r="K4" s="13" t="s">
        <v>32</v>
      </c>
      <c r="L4" s="13" t="s">
        <v>48</v>
      </c>
      <c r="M4" s="13" t="s">
        <v>49</v>
      </c>
      <c r="N4" s="13" t="s">
        <v>50</v>
      </c>
      <c r="O4" s="13" t="s">
        <v>51</v>
      </c>
    </row>
    <row r="5" customFormat="false" ht="42" hidden="false" customHeight="true" outlineLevel="0" collapsed="false">
      <c r="A5" s="14" t="n">
        <v>1</v>
      </c>
      <c r="B5" s="15" t="s">
        <v>52</v>
      </c>
      <c r="C5" s="16" t="s">
        <v>53</v>
      </c>
      <c r="D5" s="15" t="s">
        <v>54</v>
      </c>
      <c r="E5" s="17" t="s">
        <v>55</v>
      </c>
      <c r="F5" s="16" t="s">
        <v>22</v>
      </c>
      <c r="G5" s="18"/>
      <c r="H5" s="18"/>
      <c r="I5" s="18"/>
      <c r="J5" s="19" t="str">
        <f aca="false">IFERROR(IF($F5="이하",($G5-$H5)/$G5,IF($F5="이상",($H5-$G5)/$G5,"")),"")</f>
        <v/>
      </c>
      <c r="K5" s="20" t="str">
        <f aca="false">IF($F5="양부",IF($I5="","",$I5),IF(OR($G5="",$H5=""),"",IF($F5="이하",IF($H5&lt;=$G5,"합격","불합격"),IF($F5="이상",IF($H5&gt;=$G5,"합격","불합격"),""))))</f>
        <v/>
      </c>
      <c r="L5" s="17" t="s">
        <v>56</v>
      </c>
      <c r="M5" s="15" t="s">
        <v>57</v>
      </c>
      <c r="N5" s="15" t="s">
        <v>58</v>
      </c>
      <c r="O5" s="21"/>
    </row>
    <row r="6" customFormat="false" ht="42" hidden="false" customHeight="true" outlineLevel="0" collapsed="false">
      <c r="A6" s="14" t="n">
        <v>2</v>
      </c>
      <c r="B6" s="15" t="s">
        <v>59</v>
      </c>
      <c r="C6" s="22" t="s">
        <v>60</v>
      </c>
      <c r="D6" s="15" t="s">
        <v>35</v>
      </c>
      <c r="E6" s="17" t="s">
        <v>61</v>
      </c>
      <c r="F6" s="16" t="s">
        <v>18</v>
      </c>
      <c r="G6" s="18" t="n">
        <v>1</v>
      </c>
      <c r="H6" s="18"/>
      <c r="I6" s="18"/>
      <c r="J6" s="19" t="n">
        <f aca="false">IFERROR(IF($F6="이하",($G6-$H6)/$G6,IF($F6="이상",($H6-$G6)/$G6,"")),"")</f>
        <v>-1</v>
      </c>
      <c r="K6" s="20" t="str">
        <f aca="false">IF($F6="양부",IF($I6="","",$I6),IF(OR($G6="",$H6=""),"",IF($F6="이하",IF($H6&lt;=$G6,"합격","불합격"),IF($F6="이상",IF($H6&gt;=$G6,"합격","불합격"),""))))</f>
        <v/>
      </c>
      <c r="L6" s="15" t="s">
        <v>62</v>
      </c>
      <c r="M6" s="17" t="s">
        <v>63</v>
      </c>
      <c r="N6" s="15" t="s">
        <v>64</v>
      </c>
      <c r="O6" s="21"/>
    </row>
    <row r="7" customFormat="false" ht="42" hidden="false" customHeight="true" outlineLevel="0" collapsed="false">
      <c r="A7" s="14" t="n">
        <v>3</v>
      </c>
      <c r="B7" s="15" t="s">
        <v>65</v>
      </c>
      <c r="C7" s="22" t="s">
        <v>60</v>
      </c>
      <c r="D7" s="15" t="s">
        <v>66</v>
      </c>
      <c r="E7" s="15" t="s">
        <v>67</v>
      </c>
      <c r="F7" s="16" t="s">
        <v>22</v>
      </c>
      <c r="G7" s="18"/>
      <c r="H7" s="18"/>
      <c r="I7" s="18"/>
      <c r="J7" s="19" t="str">
        <f aca="false">IFERROR(IF($F7="이하",($G7-$H7)/$G7,IF($F7="이상",($H7-$G7)/$G7,"")),"")</f>
        <v/>
      </c>
      <c r="K7" s="20" t="str">
        <f aca="false">IF($F7="양부",IF($I7="","",$I7),IF(OR($G7="",$H7=""),"",IF($F7="이하",IF($H7&lt;=$G7,"합격","불합격"),IF($F7="이상",IF($H7&gt;=$G7,"합격","불합격"),""))))</f>
        <v/>
      </c>
      <c r="L7" s="15" t="s">
        <v>68</v>
      </c>
      <c r="M7" s="15" t="s">
        <v>69</v>
      </c>
      <c r="N7" s="15" t="s">
        <v>70</v>
      </c>
      <c r="O7" s="23" t="s">
        <v>71</v>
      </c>
    </row>
    <row r="8" customFormat="false" ht="42" hidden="false" customHeight="true" outlineLevel="0" collapsed="false">
      <c r="A8" s="14" t="n">
        <v>4</v>
      </c>
      <c r="B8" s="15" t="s">
        <v>72</v>
      </c>
      <c r="C8" s="22" t="s">
        <v>60</v>
      </c>
      <c r="D8" s="15" t="s">
        <v>73</v>
      </c>
      <c r="E8" s="17" t="s">
        <v>74</v>
      </c>
      <c r="F8" s="16" t="s">
        <v>22</v>
      </c>
      <c r="G8" s="18"/>
      <c r="H8" s="18"/>
      <c r="I8" s="18"/>
      <c r="J8" s="19" t="str">
        <f aca="false">IFERROR(IF($F8="이하",($G8-$H8)/$G8,IF($F8="이상",($H8-$G8)/$G8,"")),"")</f>
        <v/>
      </c>
      <c r="K8" s="20" t="str">
        <f aca="false">IF($F8="양부",IF($I8="","",$I8),IF(OR($G8="",$H8=""),"",IF($F8="이하",IF($H8&lt;=$G8,"합격","불합격"),IF($F8="이상",IF($H8&gt;=$G8,"합격","불합격"),""))))</f>
        <v/>
      </c>
      <c r="L8" s="17" t="s">
        <v>75</v>
      </c>
      <c r="M8" s="15" t="s">
        <v>76</v>
      </c>
      <c r="N8" s="17" t="s">
        <v>77</v>
      </c>
      <c r="O8" s="23" t="s">
        <v>78</v>
      </c>
    </row>
    <row r="9" customFormat="false" ht="42" hidden="false" customHeight="true" outlineLevel="0" collapsed="false">
      <c r="A9" s="14" t="n">
        <v>5</v>
      </c>
      <c r="B9" s="15" t="s">
        <v>79</v>
      </c>
      <c r="C9" s="22" t="s">
        <v>60</v>
      </c>
      <c r="D9" s="15" t="s">
        <v>80</v>
      </c>
      <c r="E9" s="17" t="s">
        <v>81</v>
      </c>
      <c r="F9" s="16" t="s">
        <v>18</v>
      </c>
      <c r="G9" s="18" t="n">
        <v>5.5</v>
      </c>
      <c r="H9" s="18"/>
      <c r="I9" s="18"/>
      <c r="J9" s="19" t="n">
        <f aca="false">IFERROR(IF($F9="이하",($G9-$H9)/$G9,IF($F9="이상",($H9-$G9)/$G9,"")),"")</f>
        <v>-1</v>
      </c>
      <c r="K9" s="20" t="str">
        <f aca="false">IF($F9="양부",IF($I9="","",$I9),IF(OR($G9="",$H9=""),"",IF($F9="이하",IF($H9&lt;=$G9,"합격","불합격"),IF($F9="이상",IF($H9&gt;=$G9,"합격","불합격"),""))))</f>
        <v/>
      </c>
      <c r="L9" s="15" t="s">
        <v>82</v>
      </c>
      <c r="M9" s="15" t="s">
        <v>83</v>
      </c>
      <c r="N9" s="15" t="s">
        <v>84</v>
      </c>
      <c r="O9" s="23" t="s">
        <v>85</v>
      </c>
    </row>
    <row r="10" customFormat="false" ht="42" hidden="false" customHeight="true" outlineLevel="0" collapsed="false">
      <c r="A10" s="14" t="n">
        <v>6</v>
      </c>
      <c r="B10" s="15" t="s">
        <v>86</v>
      </c>
      <c r="C10" s="22" t="s">
        <v>60</v>
      </c>
      <c r="D10" s="15" t="s">
        <v>87</v>
      </c>
      <c r="E10" s="17" t="s">
        <v>88</v>
      </c>
      <c r="F10" s="16" t="s">
        <v>22</v>
      </c>
      <c r="G10" s="18"/>
      <c r="H10" s="18"/>
      <c r="I10" s="18"/>
      <c r="J10" s="19" t="str">
        <f aca="false">IFERROR(IF($F10="이하",($G10-$H10)/$G10,IF($F10="이상",($H10-$G10)/$G10,"")),"")</f>
        <v/>
      </c>
      <c r="K10" s="20" t="str">
        <f aca="false">IF($F10="양부",IF($I10="","",$I10),IF(OR($G10="",$H10=""),"",IF($F10="이하",IF($H10&lt;=$G10,"합격","불합격"),IF($F10="이상",IF($H10&gt;=$G10,"합격","불합격"),""))))</f>
        <v/>
      </c>
      <c r="L10" s="15" t="s">
        <v>89</v>
      </c>
      <c r="M10" s="15" t="s">
        <v>90</v>
      </c>
      <c r="N10" s="15" t="s">
        <v>91</v>
      </c>
      <c r="O10" s="21"/>
    </row>
    <row r="11" customFormat="false" ht="42" hidden="false" customHeight="true" outlineLevel="0" collapsed="false">
      <c r="A11" s="14" t="n">
        <v>7</v>
      </c>
      <c r="B11" s="15" t="s">
        <v>92</v>
      </c>
      <c r="C11" s="16" t="s">
        <v>93</v>
      </c>
      <c r="D11" s="15" t="s">
        <v>87</v>
      </c>
      <c r="E11" s="17" t="s">
        <v>94</v>
      </c>
      <c r="F11" s="16" t="s">
        <v>22</v>
      </c>
      <c r="G11" s="18"/>
      <c r="H11" s="18"/>
      <c r="I11" s="18"/>
      <c r="J11" s="19" t="str">
        <f aca="false">IFERROR(IF($F11="이하",($G11-$H11)/$G11,IF($F11="이상",($H11-$G11)/$G11,"")),"")</f>
        <v/>
      </c>
      <c r="K11" s="20" t="str">
        <f aca="false">IF($F11="양부",IF($I11="","",$I11),IF(OR($G11="",$H11=""),"",IF($F11="이하",IF($H11&lt;=$G11,"합격","불합격"),IF($F11="이상",IF($H11&gt;=$G11,"합격","불합격"),""))))</f>
        <v/>
      </c>
      <c r="L11" s="15" t="s">
        <v>95</v>
      </c>
      <c r="M11" s="15" t="s">
        <v>96</v>
      </c>
      <c r="N11" s="15" t="s">
        <v>91</v>
      </c>
      <c r="O11" s="21"/>
    </row>
    <row r="12" customFormat="false" ht="42" hidden="false" customHeight="true" outlineLevel="0" collapsed="false">
      <c r="A12" s="14" t="n">
        <v>8</v>
      </c>
      <c r="B12" s="15" t="s">
        <v>97</v>
      </c>
      <c r="C12" s="22" t="s">
        <v>60</v>
      </c>
      <c r="D12" s="15" t="s">
        <v>98</v>
      </c>
      <c r="E12" s="17" t="s">
        <v>99</v>
      </c>
      <c r="F12" s="16" t="s">
        <v>20</v>
      </c>
      <c r="G12" s="18" t="n">
        <v>0.5</v>
      </c>
      <c r="H12" s="18"/>
      <c r="I12" s="18"/>
      <c r="J12" s="19" t="n">
        <f aca="false">IFERROR(IF($F12="이하",($G12-$H12)/$G12,IF($F12="이상",($H12-$G12)/$G12,"")),"")</f>
        <v>1</v>
      </c>
      <c r="K12" s="20" t="str">
        <f aca="false">IF($F12="양부",IF($I12="","",$I12),IF(OR($G12="",$H12=""),"",IF($F12="이하",IF($H12&lt;=$G12,"합격","불합격"),IF($F12="이상",IF($H12&gt;=$G12,"합격","불합격"),""))))</f>
        <v/>
      </c>
      <c r="L12" s="17" t="s">
        <v>100</v>
      </c>
      <c r="M12" s="17" t="s">
        <v>101</v>
      </c>
      <c r="N12" s="17" t="s">
        <v>102</v>
      </c>
      <c r="O12" s="24" t="s">
        <v>103</v>
      </c>
    </row>
    <row r="13" customFormat="false" ht="42" hidden="false" customHeight="true" outlineLevel="0" collapsed="false">
      <c r="A13" s="14" t="n">
        <v>9</v>
      </c>
      <c r="B13" s="15" t="s">
        <v>104</v>
      </c>
      <c r="C13" s="16" t="s">
        <v>93</v>
      </c>
      <c r="D13" s="15" t="s">
        <v>105</v>
      </c>
      <c r="E13" s="17" t="s">
        <v>99</v>
      </c>
      <c r="F13" s="16" t="s">
        <v>18</v>
      </c>
      <c r="G13" s="18" t="n">
        <v>300</v>
      </c>
      <c r="H13" s="18"/>
      <c r="I13" s="18"/>
      <c r="J13" s="19" t="n">
        <f aca="false">IFERROR(IF($F13="이하",($G13-$H13)/$G13,IF($F13="이상",($H13-$G13)/$G13,"")),"")</f>
        <v>-1</v>
      </c>
      <c r="K13" s="20" t="str">
        <f aca="false">IF($F13="양부",IF($I13="","",$I13),IF(OR($G13="",$H13=""),"",IF($F13="이하",IF($H13&lt;=$G13,"합격","불합격"),IF($F13="이상",IF($H13&gt;=$G13,"합격","불합격"),""))))</f>
        <v/>
      </c>
      <c r="L13" s="15" t="s">
        <v>106</v>
      </c>
      <c r="M13" s="15" t="s">
        <v>107</v>
      </c>
      <c r="N13" s="15" t="s">
        <v>108</v>
      </c>
      <c r="O13" s="21"/>
    </row>
    <row r="14" customFormat="false" ht="42" hidden="false" customHeight="true" outlineLevel="0" collapsed="false">
      <c r="A14" s="14" t="n">
        <v>10</v>
      </c>
      <c r="B14" s="15" t="s">
        <v>109</v>
      </c>
      <c r="C14" s="16" t="s">
        <v>93</v>
      </c>
      <c r="D14" s="15" t="s">
        <v>110</v>
      </c>
      <c r="E14" s="17" t="s">
        <v>111</v>
      </c>
      <c r="F14" s="16" t="s">
        <v>22</v>
      </c>
      <c r="G14" s="18"/>
      <c r="H14" s="18"/>
      <c r="I14" s="18"/>
      <c r="J14" s="19" t="str">
        <f aca="false">IFERROR(IF($F14="이하",($G14-$H14)/$G14,IF($F14="이상",($H14-$G14)/$G14,"")),"")</f>
        <v/>
      </c>
      <c r="K14" s="20" t="str">
        <f aca="false">IF($F14="양부",IF($I14="","",$I14),IF(OR($G14="",$H14=""),"",IF($F14="이하",IF($H14&lt;=$G14,"합격","불합격"),IF($F14="이상",IF($H14&gt;=$G14,"합격","불합격"),""))))</f>
        <v/>
      </c>
      <c r="L14" s="17" t="s">
        <v>112</v>
      </c>
      <c r="M14" s="15" t="s">
        <v>113</v>
      </c>
      <c r="N14" s="15" t="s">
        <v>114</v>
      </c>
      <c r="O14" s="24" t="s">
        <v>115</v>
      </c>
    </row>
    <row r="15" customFormat="false" ht="42" hidden="false" customHeight="true" outlineLevel="0" collapsed="false">
      <c r="A15" s="14" t="n">
        <v>11</v>
      </c>
      <c r="B15" s="15" t="s">
        <v>116</v>
      </c>
      <c r="C15" s="16" t="s">
        <v>93</v>
      </c>
      <c r="D15" s="15" t="s">
        <v>117</v>
      </c>
      <c r="E15" s="17" t="s">
        <v>118</v>
      </c>
      <c r="F15" s="16" t="s">
        <v>20</v>
      </c>
      <c r="G15" s="18" t="n">
        <v>5</v>
      </c>
      <c r="H15" s="18"/>
      <c r="I15" s="18"/>
      <c r="J15" s="19" t="n">
        <f aca="false">IFERROR(IF($F15="이하",($G15-$H15)/$G15,IF($F15="이상",($H15-$G15)/$G15,"")),"")</f>
        <v>1</v>
      </c>
      <c r="K15" s="20" t="str">
        <f aca="false">IF($F15="양부",IF($I15="","",$I15),IF(OR($G15="",$H15=""),"",IF($F15="이하",IF($H15&lt;=$G15,"합격","불합격"),IF($F15="이상",IF($H15&gt;=$G15,"합격","불합격"),""))))</f>
        <v/>
      </c>
      <c r="L15" s="17" t="s">
        <v>119</v>
      </c>
      <c r="M15" s="15" t="s">
        <v>120</v>
      </c>
      <c r="N15" s="15" t="s">
        <v>121</v>
      </c>
      <c r="O15" s="21"/>
    </row>
    <row r="16" customFormat="false" ht="42" hidden="false" customHeight="true" outlineLevel="0" collapsed="false">
      <c r="A16" s="14" t="n">
        <v>12</v>
      </c>
      <c r="B16" s="15" t="s">
        <v>122</v>
      </c>
      <c r="C16" s="22" t="s">
        <v>60</v>
      </c>
      <c r="D16" s="15" t="s">
        <v>123</v>
      </c>
      <c r="E16" s="17" t="s">
        <v>124</v>
      </c>
      <c r="F16" s="16" t="s">
        <v>20</v>
      </c>
      <c r="G16" s="18" t="n">
        <v>5</v>
      </c>
      <c r="H16" s="18"/>
      <c r="I16" s="18"/>
      <c r="J16" s="19" t="n">
        <f aca="false">IFERROR(IF($F16="이하",($G16-$H16)/$G16,IF($F16="이상",($H16-$G16)/$G16,"")),"")</f>
        <v>1</v>
      </c>
      <c r="K16" s="20" t="str">
        <f aca="false">IF($F16="양부",IF($I16="","",$I16),IF(OR($G16="",$H16=""),"",IF($F16="이하",IF($H16&lt;=$G16,"합격","불합격"),IF($F16="이상",IF($H16&gt;=$G16,"합격","불합격"),""))))</f>
        <v/>
      </c>
      <c r="L16" s="17" t="s">
        <v>125</v>
      </c>
      <c r="M16" s="15" t="s">
        <v>126</v>
      </c>
      <c r="N16" s="17" t="s">
        <v>127</v>
      </c>
      <c r="O16" s="23" t="s">
        <v>128</v>
      </c>
    </row>
    <row r="17" customFormat="false" ht="42" hidden="false" customHeight="true" outlineLevel="0" collapsed="false">
      <c r="A17" s="14" t="n">
        <v>13</v>
      </c>
      <c r="B17" s="15" t="s">
        <v>129</v>
      </c>
      <c r="C17" s="16" t="s">
        <v>93</v>
      </c>
      <c r="D17" s="15" t="s">
        <v>130</v>
      </c>
      <c r="E17" s="17" t="s">
        <v>131</v>
      </c>
      <c r="F17" s="16" t="s">
        <v>22</v>
      </c>
      <c r="G17" s="18"/>
      <c r="H17" s="18"/>
      <c r="I17" s="18"/>
      <c r="J17" s="19" t="str">
        <f aca="false">IFERROR(IF($F17="이하",($G17-$H17)/$G17,IF($F17="이상",($H17-$G17)/$G17,"")),"")</f>
        <v/>
      </c>
      <c r="K17" s="20" t="str">
        <f aca="false">IF($F17="양부",IF($I17="","",$I17),IF(OR($G17="",$H17=""),"",IF($F17="이하",IF($H17&lt;=$G17,"합격","불합격"),IF($F17="이상",IF($H17&gt;=$G17,"합격","불합격"),""))))</f>
        <v/>
      </c>
      <c r="L17" s="15" t="s">
        <v>132</v>
      </c>
      <c r="M17" s="15" t="s">
        <v>133</v>
      </c>
      <c r="N17" s="15" t="s">
        <v>134</v>
      </c>
      <c r="O17" s="21"/>
    </row>
    <row r="18" customFormat="false" ht="42" hidden="false" customHeight="true" outlineLevel="0" collapsed="false">
      <c r="A18" s="14" t="n">
        <v>14</v>
      </c>
      <c r="B18" s="15" t="s">
        <v>135</v>
      </c>
      <c r="C18" s="22" t="s">
        <v>60</v>
      </c>
      <c r="D18" s="15" t="s">
        <v>136</v>
      </c>
      <c r="E18" s="17" t="s">
        <v>118</v>
      </c>
      <c r="F18" s="16" t="s">
        <v>18</v>
      </c>
      <c r="G18" s="18" t="n">
        <v>90</v>
      </c>
      <c r="H18" s="18"/>
      <c r="I18" s="18"/>
      <c r="J18" s="19" t="n">
        <f aca="false">IFERROR(IF($F18="이하",($G18-$H18)/$G18,IF($F18="이상",($H18-$G18)/$G18,"")),"")</f>
        <v>-1</v>
      </c>
      <c r="K18" s="20" t="str">
        <f aca="false">IF($F18="양부",IF($I18="","",$I18),IF(OR($G18="",$H18=""),"",IF($F18="이하",IF($H18&lt;=$G18,"합격","불합격"),IF($F18="이상",IF($H18&gt;=$G18,"합격","불합격"),""))))</f>
        <v/>
      </c>
      <c r="L18" s="17" t="s">
        <v>137</v>
      </c>
      <c r="M18" s="17" t="s">
        <v>138</v>
      </c>
      <c r="N18" s="15" t="s">
        <v>139</v>
      </c>
      <c r="O18" s="21"/>
    </row>
    <row r="19" customFormat="false" ht="42" hidden="false" customHeight="true" outlineLevel="0" collapsed="false">
      <c r="A19" s="14" t="n">
        <v>15</v>
      </c>
      <c r="B19" s="15" t="s">
        <v>140</v>
      </c>
      <c r="C19" s="22" t="s">
        <v>60</v>
      </c>
      <c r="D19" s="15" t="s">
        <v>141</v>
      </c>
      <c r="E19" s="17" t="s">
        <v>142</v>
      </c>
      <c r="F19" s="16" t="s">
        <v>20</v>
      </c>
      <c r="G19" s="18" t="n">
        <v>2</v>
      </c>
      <c r="H19" s="18"/>
      <c r="I19" s="18"/>
      <c r="J19" s="19" t="n">
        <f aca="false">IFERROR(IF($F19="이하",($G19-$H19)/$G19,IF($F19="이상",($H19-$G19)/$G19,"")),"")</f>
        <v>1</v>
      </c>
      <c r="K19" s="20" t="str">
        <f aca="false">IF($F19="양부",IF($I19="","",$I19),IF(OR($G19="",$H19=""),"",IF($F19="이하",IF($H19&lt;=$G19,"합격","불합격"),IF($F19="이상",IF($H19&gt;=$G19,"합격","불합격"),""))))</f>
        <v/>
      </c>
      <c r="L19" s="15" t="s">
        <v>143</v>
      </c>
      <c r="M19" s="17" t="s">
        <v>144</v>
      </c>
      <c r="N19" s="15" t="s">
        <v>145</v>
      </c>
      <c r="O19" s="21"/>
    </row>
    <row r="20" customFormat="false" ht="42" hidden="false" customHeight="true" outlineLevel="0" collapsed="false">
      <c r="A20" s="14" t="n">
        <v>16</v>
      </c>
      <c r="B20" s="15" t="s">
        <v>146</v>
      </c>
      <c r="C20" s="16" t="s">
        <v>93</v>
      </c>
      <c r="D20" s="15" t="s">
        <v>147</v>
      </c>
      <c r="E20" s="17" t="s">
        <v>148</v>
      </c>
      <c r="F20" s="16" t="s">
        <v>22</v>
      </c>
      <c r="G20" s="18"/>
      <c r="H20" s="18"/>
      <c r="I20" s="18"/>
      <c r="J20" s="19" t="str">
        <f aca="false">IFERROR(IF($F20="이하",($G20-$H20)/$G20,IF($F20="이상",($H20-$G20)/$G20,"")),"")</f>
        <v/>
      </c>
      <c r="K20" s="20" t="str">
        <f aca="false">IF($F20="양부",IF($I20="","",$I20),IF(OR($G20="",$H20=""),"",IF($F20="이하",IF($H20&lt;=$G20,"합격","불합격"),IF($F20="이상",IF($H20&gt;=$G20,"합격","불합격"),""))))</f>
        <v/>
      </c>
      <c r="L20" s="15" t="s">
        <v>149</v>
      </c>
      <c r="M20" s="17" t="s">
        <v>150</v>
      </c>
      <c r="N20" s="17" t="s">
        <v>151</v>
      </c>
      <c r="O20" s="21"/>
    </row>
    <row r="21" customFormat="false" ht="42" hidden="false" customHeight="true" outlineLevel="0" collapsed="false">
      <c r="A21" s="14" t="n">
        <v>17</v>
      </c>
      <c r="B21" s="15" t="s">
        <v>152</v>
      </c>
      <c r="C21" s="22" t="s">
        <v>60</v>
      </c>
      <c r="D21" s="15" t="s">
        <v>153</v>
      </c>
      <c r="E21" s="17" t="s">
        <v>118</v>
      </c>
      <c r="F21" s="16" t="s">
        <v>18</v>
      </c>
      <c r="G21" s="18" t="n">
        <v>95</v>
      </c>
      <c r="H21" s="18"/>
      <c r="I21" s="18"/>
      <c r="J21" s="19" t="n">
        <f aca="false">IFERROR(IF($F21="이하",($G21-$H21)/$G21,IF($F21="이상",($H21-$G21)/$G21,"")),"")</f>
        <v>-1</v>
      </c>
      <c r="K21" s="20" t="str">
        <f aca="false">IF($F21="양부",IF($I21="","",$I21),IF(OR($G21="",$H21=""),"",IF($F21="이하",IF($H21&lt;=$G21,"합격","불합격"),IF($F21="이상",IF($H21&gt;=$G21,"합격","불합격"),""))))</f>
        <v/>
      </c>
      <c r="L21" s="15" t="s">
        <v>154</v>
      </c>
      <c r="M21" s="17" t="s">
        <v>155</v>
      </c>
      <c r="N21" s="17" t="s">
        <v>156</v>
      </c>
      <c r="O21" s="21"/>
    </row>
    <row r="22" customFormat="false" ht="42" hidden="false" customHeight="true" outlineLevel="0" collapsed="false">
      <c r="A22" s="14" t="n">
        <v>18</v>
      </c>
      <c r="B22" s="15" t="s">
        <v>157</v>
      </c>
      <c r="C22" s="22" t="s">
        <v>60</v>
      </c>
      <c r="D22" s="15" t="s">
        <v>158</v>
      </c>
      <c r="E22" s="17" t="s">
        <v>159</v>
      </c>
      <c r="F22" s="16" t="s">
        <v>20</v>
      </c>
      <c r="G22" s="18" t="n">
        <v>0.5</v>
      </c>
      <c r="H22" s="18"/>
      <c r="I22" s="18"/>
      <c r="J22" s="19" t="n">
        <f aca="false">IFERROR(IF($F22="이하",($G22-$H22)/$G22,IF($F22="이상",($H22-$G22)/$G22,"")),"")</f>
        <v>1</v>
      </c>
      <c r="K22" s="20" t="str">
        <f aca="false">IF($F22="양부",IF($I22="","",$I22),IF(OR($G22="",$H22=""),"",IF($F22="이하",IF($H22&lt;=$G22,"합격","불합격"),IF($F22="이상",IF($H22&gt;=$G22,"합격","불합격"),""))))</f>
        <v/>
      </c>
      <c r="L22" s="15" t="s">
        <v>160</v>
      </c>
      <c r="M22" s="15" t="s">
        <v>161</v>
      </c>
      <c r="N22" s="17" t="s">
        <v>162</v>
      </c>
      <c r="O22" s="21"/>
    </row>
    <row r="23" customFormat="false" ht="42" hidden="false" customHeight="true" outlineLevel="0" collapsed="false">
      <c r="A23" s="14" t="n">
        <v>19</v>
      </c>
      <c r="B23" s="15" t="s">
        <v>163</v>
      </c>
      <c r="C23" s="16" t="s">
        <v>93</v>
      </c>
      <c r="D23" s="15" t="s">
        <v>164</v>
      </c>
      <c r="E23" s="17" t="s">
        <v>165</v>
      </c>
      <c r="F23" s="16" t="s">
        <v>22</v>
      </c>
      <c r="G23" s="18"/>
      <c r="H23" s="18"/>
      <c r="I23" s="18"/>
      <c r="J23" s="19" t="str">
        <f aca="false">IFERROR(IF($F23="이하",($G23-$H23)/$G23,IF($F23="이상",($H23-$G23)/$G23,"")),"")</f>
        <v/>
      </c>
      <c r="K23" s="20" t="str">
        <f aca="false">IF($F23="양부",IF($I23="","",$I23),IF(OR($G23="",$H23=""),"",IF($F23="이하",IF($H23&lt;=$G23,"합격","불합격"),IF($F23="이상",IF($H23&gt;=$G23,"합격","불합격"),""))))</f>
        <v/>
      </c>
      <c r="L23" s="15" t="s">
        <v>166</v>
      </c>
      <c r="M23" s="17" t="s">
        <v>167</v>
      </c>
      <c r="N23" s="15" t="s">
        <v>168</v>
      </c>
      <c r="O23" s="21"/>
    </row>
    <row r="24" customFormat="false" ht="42" hidden="false" customHeight="true" outlineLevel="0" collapsed="false">
      <c r="A24" s="14" t="n">
        <v>20</v>
      </c>
      <c r="B24" s="15" t="s">
        <v>169</v>
      </c>
      <c r="C24" s="16" t="s">
        <v>93</v>
      </c>
      <c r="D24" s="15" t="s">
        <v>170</v>
      </c>
      <c r="E24" s="17" t="s">
        <v>171</v>
      </c>
      <c r="F24" s="16" t="s">
        <v>22</v>
      </c>
      <c r="G24" s="18"/>
      <c r="H24" s="18"/>
      <c r="I24" s="18"/>
      <c r="J24" s="19" t="str">
        <f aca="false">IFERROR(IF($F24="이하",($G24-$H24)/$G24,IF($F24="이상",($H24-$G24)/$G24,"")),"")</f>
        <v/>
      </c>
      <c r="K24" s="20" t="str">
        <f aca="false">IF($F24="양부",IF($I24="","",$I24),IF(OR($G24="",$H24=""),"",IF($F24="이하",IF($H24&lt;=$G24,"합격","불합격"),IF($F24="이상",IF($H24&gt;=$G24,"합격","불합격"),""))))</f>
        <v/>
      </c>
      <c r="L24" s="17" t="s">
        <v>172</v>
      </c>
      <c r="M24" s="15" t="s">
        <v>173</v>
      </c>
      <c r="N24" s="15" t="s">
        <v>174</v>
      </c>
      <c r="O24" s="21"/>
    </row>
    <row r="25" customFormat="false" ht="42" hidden="false" customHeight="true" outlineLevel="0" collapsed="false">
      <c r="A25" s="14" t="n">
        <v>21</v>
      </c>
      <c r="B25" s="15" t="s">
        <v>175</v>
      </c>
      <c r="C25" s="16" t="s">
        <v>93</v>
      </c>
      <c r="D25" s="15" t="s">
        <v>176</v>
      </c>
      <c r="E25" s="17" t="s">
        <v>177</v>
      </c>
      <c r="F25" s="16" t="s">
        <v>22</v>
      </c>
      <c r="G25" s="18"/>
      <c r="H25" s="18"/>
      <c r="I25" s="18"/>
      <c r="J25" s="19" t="str">
        <f aca="false">IFERROR(IF($F25="이하",($G25-$H25)/$G25,IF($F25="이상",($H25-$G25)/$G25,"")),"")</f>
        <v/>
      </c>
      <c r="K25" s="20" t="str">
        <f aca="false">IF($F25="양부",IF($I25="","",$I25),IF(OR($G25="",$H25=""),"",IF($F25="이하",IF($H25&lt;=$G25,"합격","불합격"),IF($F25="이상",IF($H25&gt;=$G25,"합격","불합격"),""))))</f>
        <v/>
      </c>
      <c r="L25" s="17" t="s">
        <v>178</v>
      </c>
      <c r="M25" s="15" t="s">
        <v>179</v>
      </c>
      <c r="N25" s="15" t="s">
        <v>180</v>
      </c>
      <c r="O25" s="21"/>
    </row>
    <row r="26" customFormat="false" ht="42" hidden="false" customHeight="true" outlineLevel="0" collapsed="false">
      <c r="A26" s="14" t="n">
        <v>22</v>
      </c>
      <c r="B26" s="15" t="s">
        <v>181</v>
      </c>
      <c r="C26" s="16" t="s">
        <v>93</v>
      </c>
      <c r="D26" s="15" t="s">
        <v>182</v>
      </c>
      <c r="E26" s="17" t="s">
        <v>183</v>
      </c>
      <c r="F26" s="16" t="s">
        <v>22</v>
      </c>
      <c r="G26" s="18"/>
      <c r="H26" s="18"/>
      <c r="I26" s="18"/>
      <c r="J26" s="19" t="str">
        <f aca="false">IFERROR(IF($F26="이하",($G26-$H26)/$G26,IF($F26="이상",($H26-$G26)/$G26,"")),"")</f>
        <v/>
      </c>
      <c r="K26" s="20" t="str">
        <f aca="false">IF($F26="양부",IF($I26="","",$I26),IF(OR($G26="",$H26=""),"",IF($F26="이하",IF($H26&lt;=$G26,"합격","불합격"),IF($F26="이상",IF($H26&gt;=$G26,"합격","불합격"),""))))</f>
        <v/>
      </c>
      <c r="L26" s="17" t="s">
        <v>184</v>
      </c>
      <c r="M26" s="15" t="s">
        <v>185</v>
      </c>
      <c r="N26" s="15" t="s">
        <v>186</v>
      </c>
      <c r="O26" s="23" t="s">
        <v>187</v>
      </c>
    </row>
    <row r="27" customFormat="false" ht="42" hidden="false" customHeight="true" outlineLevel="0" collapsed="false">
      <c r="A27" s="14" t="n">
        <v>23</v>
      </c>
      <c r="B27" s="15" t="s">
        <v>188</v>
      </c>
      <c r="C27" s="16" t="s">
        <v>93</v>
      </c>
      <c r="D27" s="15" t="s">
        <v>189</v>
      </c>
      <c r="E27" s="15" t="s">
        <v>190</v>
      </c>
      <c r="F27" s="16" t="s">
        <v>22</v>
      </c>
      <c r="G27" s="18"/>
      <c r="H27" s="18"/>
      <c r="I27" s="18"/>
      <c r="J27" s="19" t="str">
        <f aca="false">IFERROR(IF($F27="이하",($G27-$H27)/$G27,IF($F27="이상",($H27-$G27)/$G27,"")),"")</f>
        <v/>
      </c>
      <c r="K27" s="20" t="str">
        <f aca="false">IF($F27="양부",IF($I27="","",$I27),IF(OR($G27="",$H27=""),"",IF($F27="이하",IF($H27&lt;=$G27,"합격","불합격"),IF($F27="이상",IF($H27&gt;=$G27,"합격","불합격"),""))))</f>
        <v/>
      </c>
      <c r="L27" s="17" t="s">
        <v>191</v>
      </c>
      <c r="M27" s="15" t="s">
        <v>192</v>
      </c>
      <c r="N27" s="17" t="s">
        <v>193</v>
      </c>
      <c r="O27" s="23" t="s">
        <v>194</v>
      </c>
    </row>
    <row r="28" customFormat="false" ht="42" hidden="false" customHeight="true" outlineLevel="0" collapsed="false">
      <c r="A28" s="14" t="n">
        <v>24</v>
      </c>
      <c r="B28" s="15" t="s">
        <v>195</v>
      </c>
      <c r="C28" s="16" t="s">
        <v>93</v>
      </c>
      <c r="D28" s="15" t="s">
        <v>196</v>
      </c>
      <c r="E28" s="17" t="s">
        <v>197</v>
      </c>
      <c r="F28" s="16" t="s">
        <v>22</v>
      </c>
      <c r="G28" s="18"/>
      <c r="H28" s="18"/>
      <c r="I28" s="18"/>
      <c r="J28" s="19" t="str">
        <f aca="false">IFERROR(IF($F28="이하",($G28-$H28)/$G28,IF($F28="이상",($H28-$G28)/$G28,"")),"")</f>
        <v/>
      </c>
      <c r="K28" s="20" t="str">
        <f aca="false">IF($F28="양부",IF($I28="","",$I28),IF(OR($G28="",$H28=""),"",IF($F28="이하",IF($H28&lt;=$G28,"합격","불합격"),IF($F28="이상",IF($H28&gt;=$G28,"합격","불합격"),""))))</f>
        <v/>
      </c>
      <c r="L28" s="15" t="s">
        <v>198</v>
      </c>
      <c r="M28" s="15" t="s">
        <v>199</v>
      </c>
      <c r="N28" s="15" t="s">
        <v>174</v>
      </c>
      <c r="O28" s="21"/>
    </row>
    <row r="29" customFormat="false" ht="42" hidden="false" customHeight="true" outlineLevel="0" collapsed="false">
      <c r="A29" s="14" t="n">
        <v>25</v>
      </c>
      <c r="B29" s="15" t="s">
        <v>200</v>
      </c>
      <c r="C29" s="16" t="s">
        <v>93</v>
      </c>
      <c r="D29" s="15" t="s">
        <v>201</v>
      </c>
      <c r="E29" s="15" t="s">
        <v>202</v>
      </c>
      <c r="F29" s="16" t="s">
        <v>22</v>
      </c>
      <c r="G29" s="18"/>
      <c r="H29" s="18"/>
      <c r="I29" s="18"/>
      <c r="J29" s="19" t="str">
        <f aca="false">IFERROR(IF($F29="이하",($G29-$H29)/$G29,IF($F29="이상",($H29-$G29)/$G29,"")),"")</f>
        <v/>
      </c>
      <c r="K29" s="20" t="str">
        <f aca="false">IF($F29="양부",IF($I29="","",$I29),IF(OR($G29="",$H29=""),"",IF($F29="이하",IF($H29&lt;=$G29,"합격","불합격"),IF($F29="이상",IF($H29&gt;=$G29,"합격","불합격"),""))))</f>
        <v/>
      </c>
      <c r="L29" s="15" t="s">
        <v>203</v>
      </c>
      <c r="M29" s="15" t="s">
        <v>204</v>
      </c>
      <c r="N29" s="15" t="s">
        <v>205</v>
      </c>
      <c r="O29" s="21"/>
    </row>
    <row r="30" customFormat="false" ht="42" hidden="false" customHeight="true" outlineLevel="0" collapsed="false">
      <c r="A30" s="14" t="n">
        <v>26</v>
      </c>
      <c r="B30" s="15" t="s">
        <v>206</v>
      </c>
      <c r="C30" s="16" t="s">
        <v>93</v>
      </c>
      <c r="D30" s="15" t="s">
        <v>207</v>
      </c>
      <c r="E30" s="15" t="s">
        <v>202</v>
      </c>
      <c r="F30" s="16" t="s">
        <v>22</v>
      </c>
      <c r="G30" s="18"/>
      <c r="H30" s="18"/>
      <c r="I30" s="25" t="s">
        <v>208</v>
      </c>
      <c r="J30" s="19" t="str">
        <f aca="false">IFERROR(IF($F30="이하",($G30-$H30)/$G30,IF($F30="이상",($H30-$G30)/$G30,"")),"")</f>
        <v/>
      </c>
      <c r="K30" s="20" t="str">
        <f aca="false">IF($F30="양부",IF($I30="","",$I30),IF(OR($G30="",$H30=""),"",IF($F30="이하",IF($H30&lt;=$G30,"합격","불합격"),IF($F30="이상",IF($H30&gt;=$G30,"합격","불합격"),""))))</f>
        <v>비적용</v>
      </c>
      <c r="L30" s="17" t="s">
        <v>209</v>
      </c>
      <c r="M30" s="17" t="s">
        <v>210</v>
      </c>
      <c r="N30" s="17" t="s">
        <v>211</v>
      </c>
      <c r="O30" s="21"/>
    </row>
    <row r="31" customFormat="false" ht="42" hidden="false" customHeight="true" outlineLevel="0" collapsed="false">
      <c r="A31" s="14" t="n">
        <v>27</v>
      </c>
      <c r="B31" s="15" t="s">
        <v>212</v>
      </c>
      <c r="C31" s="16" t="s">
        <v>93</v>
      </c>
      <c r="D31" s="15" t="s">
        <v>213</v>
      </c>
      <c r="E31" s="15" t="s">
        <v>202</v>
      </c>
      <c r="F31" s="16" t="s">
        <v>22</v>
      </c>
      <c r="G31" s="18"/>
      <c r="H31" s="18"/>
      <c r="I31" s="25" t="s">
        <v>208</v>
      </c>
      <c r="J31" s="19" t="str">
        <f aca="false">IFERROR(IF($F31="이하",($G31-$H31)/$G31,IF($F31="이상",($H31-$G31)/$G31,"")),"")</f>
        <v/>
      </c>
      <c r="K31" s="20" t="str">
        <f aca="false">IF($F31="양부",IF($I31="","",$I31),IF(OR($G31="",$H31=""),"",IF($F31="이하",IF($H31&lt;=$G31,"합격","불합격"),IF($F31="이상",IF($H31&gt;=$G31,"합격","불합격"),""))))</f>
        <v>비적용</v>
      </c>
      <c r="L31" s="17" t="s">
        <v>214</v>
      </c>
      <c r="M31" s="15" t="s">
        <v>215</v>
      </c>
      <c r="N31" s="17" t="s">
        <v>216</v>
      </c>
      <c r="O31" s="21"/>
    </row>
    <row r="32" customFormat="false" ht="42" hidden="false" customHeight="true" outlineLevel="0" collapsed="false">
      <c r="A32" s="14" t="n">
        <v>28</v>
      </c>
      <c r="B32" s="15" t="s">
        <v>217</v>
      </c>
      <c r="C32" s="22" t="s">
        <v>60</v>
      </c>
      <c r="D32" s="15" t="s">
        <v>218</v>
      </c>
      <c r="E32" s="17" t="s">
        <v>219</v>
      </c>
      <c r="F32" s="16" t="s">
        <v>22</v>
      </c>
      <c r="G32" s="18"/>
      <c r="H32" s="18"/>
      <c r="I32" s="18"/>
      <c r="J32" s="19" t="str">
        <f aca="false">IFERROR(IF($F32="이하",($G32-$H32)/$G32,IF($F32="이상",($H32-$G32)/$G32,"")),"")</f>
        <v/>
      </c>
      <c r="K32" s="20" t="str">
        <f aca="false">IF($F32="양부",IF($I32="","",$I32),IF(OR($G32="",$H32=""),"",IF($F32="이하",IF($H32&lt;=$G32,"합격","불합격"),IF($F32="이상",IF($H32&gt;=$G32,"합격","불합격"),""))))</f>
        <v/>
      </c>
      <c r="L32" s="15" t="s">
        <v>220</v>
      </c>
      <c r="M32" s="17" t="s">
        <v>221</v>
      </c>
      <c r="N32" s="15" t="s">
        <v>222</v>
      </c>
      <c r="O32" s="23" t="s">
        <v>223</v>
      </c>
    </row>
    <row r="33" customFormat="false" ht="42" hidden="false" customHeight="true" outlineLevel="0" collapsed="false">
      <c r="A33" s="14" t="n">
        <v>29</v>
      </c>
      <c r="B33" s="15" t="s">
        <v>224</v>
      </c>
      <c r="C33" s="22" t="s">
        <v>60</v>
      </c>
      <c r="D33" s="15" t="s">
        <v>225</v>
      </c>
      <c r="E33" s="17" t="s">
        <v>219</v>
      </c>
      <c r="F33" s="16" t="s">
        <v>22</v>
      </c>
      <c r="G33" s="18"/>
      <c r="H33" s="18"/>
      <c r="I33" s="18"/>
      <c r="J33" s="19" t="str">
        <f aca="false">IFERROR(IF($F33="이하",($G33-$H33)/$G33,IF($F33="이상",($H33-$G33)/$G33,"")),"")</f>
        <v/>
      </c>
      <c r="K33" s="20" t="str">
        <f aca="false">IF($F33="양부",IF($I33="","",$I33),IF(OR($G33="",$H33=""),"",IF($F33="이하",IF($H33&lt;=$G33,"합격","불합격"),IF($F33="이상",IF($H33&gt;=$G33,"합격","불합격"),""))))</f>
        <v/>
      </c>
      <c r="L33" s="15" t="s">
        <v>226</v>
      </c>
      <c r="M33" s="17" t="s">
        <v>227</v>
      </c>
      <c r="N33" s="15" t="s">
        <v>228</v>
      </c>
      <c r="O33" s="23" t="s">
        <v>223</v>
      </c>
    </row>
    <row r="34" customFormat="false" ht="42" hidden="false" customHeight="true" outlineLevel="0" collapsed="false">
      <c r="A34" s="14" t="n">
        <v>30</v>
      </c>
      <c r="B34" s="15" t="s">
        <v>229</v>
      </c>
      <c r="C34" s="22" t="s">
        <v>60</v>
      </c>
      <c r="D34" s="15" t="s">
        <v>230</v>
      </c>
      <c r="E34" s="17" t="s">
        <v>231</v>
      </c>
      <c r="F34" s="16" t="s">
        <v>22</v>
      </c>
      <c r="G34" s="18"/>
      <c r="H34" s="18"/>
      <c r="I34" s="18"/>
      <c r="J34" s="19" t="str">
        <f aca="false">IFERROR(IF($F34="이하",($G34-$H34)/$G34,IF($F34="이상",($H34-$G34)/$G34,"")),"")</f>
        <v/>
      </c>
      <c r="K34" s="20" t="str">
        <f aca="false">IF($F34="양부",IF($I34="","",$I34),IF(OR($G34="",$H34=""),"",IF($F34="이하",IF($H34&lt;=$G34,"합격","불합격"),IF($F34="이상",IF($H34&gt;=$G34,"합격","불합격"),""))))</f>
        <v/>
      </c>
      <c r="L34" s="15" t="s">
        <v>232</v>
      </c>
      <c r="M34" s="17" t="s">
        <v>233</v>
      </c>
      <c r="N34" s="17" t="s">
        <v>234</v>
      </c>
      <c r="O34" s="24" t="s">
        <v>235</v>
      </c>
    </row>
    <row r="35" customFormat="false" ht="42" hidden="false" customHeight="true" outlineLevel="0" collapsed="false">
      <c r="A35" s="14" t="n">
        <v>31</v>
      </c>
      <c r="B35" s="15" t="s">
        <v>236</v>
      </c>
      <c r="C35" s="22" t="s">
        <v>60</v>
      </c>
      <c r="D35" s="15" t="s">
        <v>237</v>
      </c>
      <c r="E35" s="17" t="s">
        <v>238</v>
      </c>
      <c r="F35" s="16" t="s">
        <v>22</v>
      </c>
      <c r="G35" s="18"/>
      <c r="H35" s="18"/>
      <c r="I35" s="18"/>
      <c r="J35" s="19" t="str">
        <f aca="false">IFERROR(IF($F35="이하",($G35-$H35)/$G35,IF($F35="이상",($H35-$G35)/$G35,"")),"")</f>
        <v/>
      </c>
      <c r="K35" s="20" t="str">
        <f aca="false">IF($F35="양부",IF($I35="","",$I35),IF(OR($G35="",$H35=""),"",IF($F35="이하",IF($H35&lt;=$G35,"합격","불합격"),IF($F35="이상",IF($H35&gt;=$G35,"합격","불합격"),""))))</f>
        <v/>
      </c>
      <c r="L35" s="15" t="s">
        <v>239</v>
      </c>
      <c r="M35" s="17" t="s">
        <v>240</v>
      </c>
      <c r="N35" s="17" t="s">
        <v>241</v>
      </c>
      <c r="O3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1" width="16"/>
  </cols>
  <sheetData>
    <row r="1" customFormat="false" ht="18.75" hidden="false" customHeight="true" outlineLevel="0" collapsed="false">
      <c r="A1" s="26" t="s">
        <v>242</v>
      </c>
    </row>
    <row r="2" customFormat="false" ht="15" hidden="false" customHeight="true" outlineLevel="0" collapsed="false">
      <c r="A2" s="27" t="s">
        <v>243</v>
      </c>
    </row>
    <row r="4" customFormat="false" ht="15" hidden="false" customHeight="true" outlineLevel="0" collapsed="false">
      <c r="A4" s="13" t="s">
        <v>244</v>
      </c>
      <c r="B4" s="28" t="s">
        <v>245</v>
      </c>
      <c r="C4" s="28" t="s">
        <v>246</v>
      </c>
      <c r="D4" s="13" t="s">
        <v>247</v>
      </c>
      <c r="E4" s="28" t="s">
        <v>248</v>
      </c>
      <c r="F4" s="28" t="s">
        <v>249</v>
      </c>
    </row>
    <row r="5" customFormat="false" ht="15" hidden="false" customHeight="true" outlineLevel="0" collapsed="false">
      <c r="A5" s="29" t="n">
        <v>0.05</v>
      </c>
      <c r="B5" s="30" t="n">
        <v>0.03</v>
      </c>
      <c r="C5" s="30" t="n">
        <v>0</v>
      </c>
      <c r="D5" s="31"/>
      <c r="E5" s="32" t="n">
        <f aca="false">IFERROR($B5*$D5,"")</f>
        <v>0</v>
      </c>
      <c r="F5" s="32" t="n">
        <f aca="false">IFERROR($C5*$D5,"")</f>
        <v>0</v>
      </c>
    </row>
    <row r="6" customFormat="false" ht="15" hidden="false" customHeight="true" outlineLevel="0" collapsed="false">
      <c r="A6" s="29" t="n">
        <v>0.1</v>
      </c>
      <c r="B6" s="30" t="n">
        <v>0.06</v>
      </c>
      <c r="C6" s="30" t="n">
        <v>0.04</v>
      </c>
      <c r="D6" s="31"/>
      <c r="E6" s="32" t="n">
        <f aca="false">IFERROR($B6*$D6,"")</f>
        <v>0</v>
      </c>
      <c r="F6" s="32" t="n">
        <f aca="false">IFERROR($C6*$D6,"")</f>
        <v>0</v>
      </c>
    </row>
    <row r="7" customFormat="false" ht="15" hidden="false" customHeight="true" outlineLevel="0" collapsed="false">
      <c r="A7" s="29" t="n">
        <v>0.2</v>
      </c>
      <c r="B7" s="30" t="n">
        <v>0.13</v>
      </c>
      <c r="C7" s="30" t="n">
        <v>0.05</v>
      </c>
      <c r="D7" s="31"/>
      <c r="E7" s="32" t="n">
        <f aca="false">IFERROR($B7*$D7,"")</f>
        <v>0</v>
      </c>
      <c r="F7" s="32" t="n">
        <f aca="false">IFERROR($C7*$D7,"")</f>
        <v>0</v>
      </c>
    </row>
    <row r="8" customFormat="false" ht="15" hidden="false" customHeight="true" outlineLevel="0" collapsed="false">
      <c r="A8" s="29" t="n">
        <v>0.3</v>
      </c>
      <c r="B8" s="30" t="n">
        <v>0.1</v>
      </c>
      <c r="C8" s="30" t="n">
        <v>0.12</v>
      </c>
      <c r="D8" s="31"/>
      <c r="E8" s="32" t="n">
        <f aca="false">IFERROR($B8*$D8,"")</f>
        <v>0</v>
      </c>
      <c r="F8" s="32" t="n">
        <f aca="false">IFERROR($C8*$D8,"")</f>
        <v>0</v>
      </c>
    </row>
    <row r="9" customFormat="false" ht="15" hidden="false" customHeight="true" outlineLevel="0" collapsed="false">
      <c r="A9" s="29" t="n">
        <v>0.5</v>
      </c>
      <c r="B9" s="30" t="n">
        <v>0.48</v>
      </c>
      <c r="C9" s="30" t="n">
        <v>0.21</v>
      </c>
      <c r="D9" s="31"/>
      <c r="E9" s="32" t="n">
        <f aca="false">IFERROR($B9*$D9,"")</f>
        <v>0</v>
      </c>
      <c r="F9" s="32" t="n">
        <f aca="false">IFERROR($C9*$D9,"")</f>
        <v>0</v>
      </c>
    </row>
    <row r="10" customFormat="false" ht="15" hidden="false" customHeight="true" outlineLevel="0" collapsed="false">
      <c r="A10" s="29" t="n">
        <v>0.75</v>
      </c>
      <c r="B10" s="30" t="n">
        <v>0</v>
      </c>
      <c r="C10" s="30" t="n">
        <v>0.53</v>
      </c>
      <c r="D10" s="31"/>
      <c r="E10" s="32" t="n">
        <f aca="false">IFERROR($B10*$D10,"")</f>
        <v>0</v>
      </c>
      <c r="F10" s="32" t="n">
        <f aca="false">IFERROR($C10*$D10,"")</f>
        <v>0</v>
      </c>
    </row>
    <row r="11" customFormat="false" ht="15" hidden="false" customHeight="true" outlineLevel="0" collapsed="false">
      <c r="A11" s="29" t="n">
        <v>1</v>
      </c>
      <c r="B11" s="30" t="n">
        <v>0.2</v>
      </c>
      <c r="C11" s="30" t="n">
        <v>0.05</v>
      </c>
      <c r="D11" s="31"/>
      <c r="E11" s="32" t="n">
        <f aca="false">IFERROR($B11*$D11,"")</f>
        <v>0</v>
      </c>
      <c r="F11" s="32" t="n">
        <f aca="false">IFERROR($C11*$D11,"")</f>
        <v>0</v>
      </c>
    </row>
    <row r="12" customFormat="false" ht="15" hidden="false" customHeight="true" outlineLevel="0" collapsed="false">
      <c r="A12" s="4" t="s">
        <v>250</v>
      </c>
      <c r="B12" s="33" t="n">
        <f aca="false">SUM(B5:B11)</f>
        <v>1</v>
      </c>
      <c r="C12" s="33" t="n">
        <f aca="false">SUM(C5:C11)</f>
        <v>1</v>
      </c>
    </row>
    <row r="13" customFormat="false" ht="15" hidden="false" customHeight="true" outlineLevel="0" collapsed="false">
      <c r="A13" s="34" t="s">
        <v>251</v>
      </c>
      <c r="B13" s="35" t="str">
        <f aca="false">IF(COUNT(D5:D9,D11)&lt;6,"",SUM(E5:E11))</f>
        <v/>
      </c>
      <c r="C13" s="35" t="str">
        <f aca="false">IF(COUNT(D6:D11)&lt;6,"",SUM(F5:F11))</f>
        <v/>
      </c>
      <c r="D13" s="36" t="s">
        <v>252</v>
      </c>
    </row>
    <row r="14" customFormat="false" ht="15" hidden="false" customHeight="true" outlineLevel="0" collapsed="false">
      <c r="A14" s="37" t="s">
        <v>253</v>
      </c>
      <c r="B14" s="38" t="str">
        <f aca="false">IF(B13="","",IF(B13&gt;=90,"합격 (≥90 %)","불합격 (&lt;90 %)"))</f>
        <v/>
      </c>
      <c r="C14" s="36" t="s">
        <v>254</v>
      </c>
    </row>
    <row r="16" customFormat="false" ht="15" hidden="false" customHeight="true" outlineLevel="0" collapsed="false">
      <c r="A16" s="39" t="s">
        <v>255</v>
      </c>
    </row>
    <row r="17" customFormat="false" ht="15" hidden="false" customHeight="true" outlineLevel="0" collapsed="false">
      <c r="A17" s="40" t="s">
        <v>256</v>
      </c>
    </row>
    <row r="18" customFormat="false" ht="15" hidden="false" customHeight="true" outlineLevel="0" collapsed="false">
      <c r="A18" s="41" t="s">
        <v>257</v>
      </c>
    </row>
    <row r="19" customFormat="false" ht="15" hidden="false" customHeight="true" outlineLevel="0" collapsed="false">
      <c r="A19" s="40" t="s">
        <v>258</v>
      </c>
    </row>
    <row r="20" customFormat="false" ht="15" hidden="false" customHeight="true" outlineLevel="0" collapsed="false">
      <c r="A20" s="41" t="s">
        <v>259</v>
      </c>
    </row>
    <row r="21" customFormat="false" ht="15" hidden="false" customHeight="true" outlineLevel="0" collapsed="false">
      <c r="A21" s="41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40"/>
  </cols>
  <sheetData>
    <row r="1" customFormat="false" ht="17.25" hidden="false" customHeight="true" outlineLevel="0" collapsed="false">
      <c r="A1" s="26" t="s">
        <v>261</v>
      </c>
    </row>
    <row r="2" customFormat="false" ht="15" hidden="false" customHeight="true" outlineLevel="0" collapsed="false">
      <c r="A2" s="12" t="s">
        <v>262</v>
      </c>
    </row>
    <row r="4" customFormat="false" ht="15" hidden="false" customHeight="true" outlineLevel="0" collapsed="false">
      <c r="A4" s="13" t="s">
        <v>263</v>
      </c>
      <c r="B4" s="13" t="s">
        <v>264</v>
      </c>
      <c r="C4" s="13" t="s">
        <v>265</v>
      </c>
      <c r="D4" s="28" t="s">
        <v>266</v>
      </c>
      <c r="E4" s="28" t="s">
        <v>267</v>
      </c>
      <c r="F4" s="13" t="s">
        <v>268</v>
      </c>
      <c r="G4" s="13" t="s">
        <v>269</v>
      </c>
      <c r="H4" s="13" t="s">
        <v>270</v>
      </c>
      <c r="I4" s="13" t="s">
        <v>271</v>
      </c>
      <c r="J4" s="13" t="s">
        <v>272</v>
      </c>
      <c r="K4" s="13" t="s">
        <v>273</v>
      </c>
      <c r="L4" s="13" t="s">
        <v>274</v>
      </c>
    </row>
    <row r="5" customFormat="false" ht="15" hidden="false" customHeight="true" outlineLevel="0" collapsed="false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customFormat="false" ht="15" hidden="false" customHeight="true" outlineLevel="0" collapsed="false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customFormat="false" ht="15" hidden="false" customHeight="true" outlineLevel="0" collapsed="false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customFormat="false" ht="1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</row>
    <row r="9" customFormat="false" ht="1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</row>
    <row r="10" customFormat="false" ht="1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</row>
    <row r="11" customFormat="false" ht="1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customFormat="false" ht="1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customFormat="false" ht="1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 customFormat="false" ht="1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5" customFormat="false" ht="1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customFormat="false" ht="1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</row>
    <row r="17" customFormat="false" ht="1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customFormat="false" ht="1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</row>
    <row r="20" customFormat="false" ht="1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</row>
    <row r="21" customFormat="false" ht="1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customFormat="false" ht="1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</row>
    <row r="23" customFormat="false" ht="1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</row>
    <row r="24" customFormat="false" ht="1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6" t="s">
        <v>275</v>
      </c>
    </row>
    <row r="3" customFormat="false" ht="15" hidden="false" customHeight="true" outlineLevel="0" collapsed="false">
      <c r="A3" s="13" t="s">
        <v>45</v>
      </c>
      <c r="B3" s="13" t="s">
        <v>276</v>
      </c>
      <c r="C3" s="13" t="s">
        <v>34</v>
      </c>
      <c r="D3" s="13" t="s">
        <v>277</v>
      </c>
      <c r="E3" s="13" t="s">
        <v>278</v>
      </c>
      <c r="F3" s="13" t="s">
        <v>208</v>
      </c>
    </row>
    <row r="4" customFormat="false" ht="15" hidden="false" customHeight="true" outlineLevel="0" collapsed="false">
      <c r="A4" s="43" t="s">
        <v>60</v>
      </c>
      <c r="B4" s="44" t="n">
        <f aca="false">COUNTIF(측정대장!$C$5:$C$35,$A4)</f>
        <v>15</v>
      </c>
      <c r="C4" s="44" t="n">
        <f aca="false">COUNTIFS(측정대장!$C$5:$C$35,$A4,측정대장!$K$5:$K$35,"합격")</f>
        <v>0</v>
      </c>
      <c r="D4" s="44" t="n">
        <f aca="false">COUNTIFS(측정대장!$C$5:$C$35,$A4,측정대장!$K$5:$K$35,"불합격")</f>
        <v>0</v>
      </c>
      <c r="E4" s="44" t="n">
        <f aca="false">$B4-$C4-$D4-$F4</f>
        <v>15</v>
      </c>
      <c r="F4" s="44" t="n">
        <f aca="false">COUNTIFS(측정대장!$C$5:$C$35,$A4,측정대장!$K$5:$K$35,"비적용")</f>
        <v>0</v>
      </c>
    </row>
    <row r="5" customFormat="false" ht="15" hidden="false" customHeight="true" outlineLevel="0" collapsed="false">
      <c r="A5" s="45" t="s">
        <v>93</v>
      </c>
      <c r="B5" s="44" t="n">
        <f aca="false">COUNTIF(측정대장!$C$5:$C$35,$A5)</f>
        <v>15</v>
      </c>
      <c r="C5" s="44" t="n">
        <f aca="false">COUNTIFS(측정대장!$C$5:$C$35,$A5,측정대장!$K$5:$K$35,"합격")</f>
        <v>0</v>
      </c>
      <c r="D5" s="44" t="n">
        <f aca="false">COUNTIFS(측정대장!$C$5:$C$35,$A5,측정대장!$K$5:$K$35,"불합격")</f>
        <v>0</v>
      </c>
      <c r="E5" s="44" t="n">
        <f aca="false">$B5-$C5-$D5-$F5</f>
        <v>13</v>
      </c>
      <c r="F5" s="44" t="n">
        <f aca="false">COUNTIFS(측정대장!$C$5:$C$35,$A5,측정대장!$K$5:$K$35,"비적용")</f>
        <v>2</v>
      </c>
    </row>
    <row r="6" customFormat="false" ht="15" hidden="false" customHeight="true" outlineLevel="0" collapsed="false">
      <c r="A6" s="45" t="s">
        <v>53</v>
      </c>
      <c r="B6" s="44" t="n">
        <f aca="false">COUNTIF(측정대장!$C$5:$C$35,$A6)</f>
        <v>1</v>
      </c>
      <c r="C6" s="44" t="n">
        <f aca="false">COUNTIFS(측정대장!$C$5:$C$35,$A6,측정대장!$K$5:$K$35,"합격")</f>
        <v>0</v>
      </c>
      <c r="D6" s="44" t="n">
        <f aca="false">COUNTIFS(측정대장!$C$5:$C$35,$A6,측정대장!$K$5:$K$35,"불합격")</f>
        <v>0</v>
      </c>
      <c r="E6" s="44" t="n">
        <f aca="false">$B6-$C6-$D6-$F6</f>
        <v>1</v>
      </c>
      <c r="F6" s="44" t="n">
        <f aca="false">COUNTIFS(측정대장!$C$5:$C$35,$A6,측정대장!$K$5:$K$35,"비적용")</f>
        <v>0</v>
      </c>
    </row>
    <row r="8" customFormat="false" ht="15" hidden="false" customHeight="true" outlineLevel="0" collapsed="false">
      <c r="A8" s="46" t="s">
        <v>279</v>
      </c>
    </row>
    <row r="9" customFormat="false" ht="15" hidden="false" customHeight="true" outlineLevel="0" collapsed="false">
      <c r="A9" s="47" t="str">
        <f aca="false">IF(D4&gt;0,"불합격 — 치명결함 발생",IF(E4+E5+E6&gt;0,"미완료 — 미측정 항목 있음",IF(D5+D6&gt;0,"중·경결함 발생 — 합부판정 기준 확인 필요","전 항목 합격")))</f>
        <v>미완료 — 미측정 항목 있음</v>
      </c>
    </row>
    <row r="11" customFormat="false" ht="15" hidden="false" customHeight="true" outlineLevel="0" collapsed="false">
      <c r="A11" s="27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2026-09-15T02:21:04Z</dcterms:created>
  <dc:creator>openpyxl</dc:creator>
  <dc:description/>
  <dc:language>en-US</dc:language>
  <cp:lastModifiedBy/>
  <dcterms:modified xsi:type="dcterms:W3CDTF">2026-09-29T01:51:58Z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