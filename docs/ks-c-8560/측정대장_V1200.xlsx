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측정대장" sheetId="2" state="visible" r:id="rId4"/>
    <sheet name="효율측정" sheetId="3" state="visible" r:id="rId5"/>
    <sheet name="시험이력" sheetId="4" state="visible" r:id="rId6"/>
    <sheet name="요약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<sst xmlns="http://schemas.openxmlformats.org/spreadsheetml/2006/main" count="356" uniqueCount="245">
  <si>
    <r>
      <rPr>
        <b val="true"/>
        <sz val="15"/>
        <color rgb="FF1F3864"/>
        <rFont val="WenQuanYi Zen Hei"/>
        <family val="2"/>
      </rPr>
      <t xml:space="preserve">마이크로인버터 </t>
    </r>
    <r>
      <rPr>
        <b val="true"/>
        <sz val="15"/>
        <color rgb="FF1F3864"/>
        <rFont val="Malgun Gothic"/>
        <family val="0"/>
        <charset val="1"/>
      </rPr>
      <t xml:space="preserve">V1200 </t>
    </r>
    <r>
      <rPr>
        <b val="true"/>
        <sz val="15"/>
        <color rgb="FF1F3864"/>
        <rFont val="WenQuanYi Zen Hei"/>
        <family val="2"/>
      </rPr>
      <t xml:space="preserve">측정 대장 — 사용 안내</t>
    </r>
  </si>
  <si>
    <r>
      <rPr>
        <b val="true"/>
        <sz val="12"/>
        <rFont val="Malgun Gothic"/>
        <family val="0"/>
        <charset val="1"/>
      </rPr>
      <t xml:space="preserve">1. </t>
    </r>
    <r>
      <rPr>
        <b val="true"/>
        <sz val="12"/>
        <rFont val="WenQuanYi Zen Hei"/>
        <family val="2"/>
      </rPr>
      <t xml:space="preserve">시트 구성</t>
    </r>
  </si>
  <si>
    <t xml:space="preserve">측정대장</t>
  </si>
  <si>
    <r>
      <rPr>
        <sz val="10"/>
        <rFont val="Malgun Gothic"/>
        <family val="0"/>
        <charset val="1"/>
      </rPr>
      <t xml:space="preserve">31</t>
    </r>
    <r>
      <rPr>
        <sz val="10"/>
        <rFont val="WenQuanYi Zen Hei"/>
        <family val="2"/>
      </rPr>
      <t xml:space="preserve">개 제품시험 항목의 기준값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실측값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판정 기록</t>
    </r>
    <r>
      <rPr>
        <sz val="10"/>
        <rFont val="Malgun Gothic"/>
        <family val="0"/>
        <charset val="1"/>
      </rPr>
      <t xml:space="preserve">. </t>
    </r>
    <r>
      <rPr>
        <sz val="10"/>
        <rFont val="WenQuanYi Zen Hei"/>
        <family val="2"/>
      </rPr>
      <t xml:space="preserve">주 작업 시트</t>
    </r>
  </si>
  <si>
    <t xml:space="preserve">효율측정</t>
  </si>
  <si>
    <r>
      <rPr>
        <sz val="10"/>
        <rFont val="Malgun Gothic"/>
        <family val="0"/>
        <charset val="1"/>
      </rPr>
      <t xml:space="preserve">IEC 61683 / EN 50530 </t>
    </r>
    <r>
      <rPr>
        <sz val="10"/>
        <rFont val="WenQuanYi Zen Hei"/>
        <family val="2"/>
      </rPr>
      <t xml:space="preserve">출력레벨별 효율 및 </t>
    </r>
    <r>
      <rPr>
        <sz val="10"/>
        <rFont val="Malgun Gothic"/>
        <family val="0"/>
        <charset val="1"/>
      </rPr>
      <t xml:space="preserve">EU·CEC </t>
    </r>
    <r>
      <rPr>
        <sz val="10"/>
        <rFont val="WenQuanYi Zen Hei"/>
        <family val="2"/>
      </rPr>
      <t xml:space="preserve">가중효율 자동 산출</t>
    </r>
  </si>
  <si>
    <t xml:space="preserve">시험이력</t>
  </si>
  <si>
    <r>
      <rPr>
        <sz val="10"/>
        <rFont val="WenQuanYi Zen Hei"/>
        <family val="2"/>
      </rPr>
      <t xml:space="preserve">시험 세션별 조건 기록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시료 </t>
    </r>
    <r>
      <rPr>
        <sz val="10"/>
        <rFont val="Malgun Gothic"/>
        <family val="0"/>
        <charset val="1"/>
      </rPr>
      <t xml:space="preserve">S/N, </t>
    </r>
    <r>
      <rPr>
        <sz val="10"/>
        <rFont val="WenQuanYi Zen Hei"/>
        <family val="2"/>
      </rPr>
      <t xml:space="preserve">펌웨어 버전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주위환경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계측기 교정일</t>
    </r>
    <r>
      <rPr>
        <sz val="10"/>
        <rFont val="Malgun Gothic"/>
        <family val="0"/>
        <charset val="1"/>
      </rPr>
      <t xml:space="preserve">)</t>
    </r>
  </si>
  <si>
    <t xml:space="preserve">요약</t>
  </si>
  <si>
    <t xml:space="preserve">결함구분별 판정 집계</t>
  </si>
  <si>
    <r>
      <rPr>
        <b val="true"/>
        <sz val="12"/>
        <rFont val="Malgun Gothic"/>
        <family val="0"/>
        <charset val="1"/>
      </rPr>
      <t xml:space="preserve">2. </t>
    </r>
    <r>
      <rPr>
        <b val="true"/>
        <sz val="12"/>
        <rFont val="WenQuanYi Zen Hei"/>
        <family val="2"/>
      </rPr>
      <t xml:space="preserve">입력 규칙</t>
    </r>
  </si>
  <si>
    <t xml:space="preserve">노란색 칸</t>
  </si>
  <si>
    <r>
      <rPr>
        <sz val="10"/>
        <rFont val="WenQuanYi Zen Hei"/>
        <family val="2"/>
      </rPr>
      <t xml:space="preserve">사용자가 입력하는 칸 — 기준값 </t>
    </r>
    <r>
      <rPr>
        <sz val="10"/>
        <rFont val="Malgun Gothic"/>
        <family val="0"/>
        <charset val="1"/>
      </rPr>
      <t xml:space="preserve">/ </t>
    </r>
    <r>
      <rPr>
        <sz val="10"/>
        <rFont val="WenQuanYi Zen Hei"/>
        <family val="2"/>
      </rPr>
      <t xml:space="preserve">실측값 </t>
    </r>
    <r>
      <rPr>
        <sz val="10"/>
        <rFont val="Malgun Gothic"/>
        <family val="0"/>
        <charset val="1"/>
      </rPr>
      <t xml:space="preserve">/ </t>
    </r>
    <r>
      <rPr>
        <sz val="10"/>
        <rFont val="WenQuanYi Zen Hei"/>
        <family val="2"/>
      </rPr>
      <t xml:space="preserve">기능판정 </t>
    </r>
    <r>
      <rPr>
        <sz val="10"/>
        <rFont val="Malgun Gothic"/>
        <family val="0"/>
        <charset val="1"/>
      </rPr>
      <t xml:space="preserve">/ </t>
    </r>
    <r>
      <rPr>
        <sz val="10"/>
        <rFont val="WenQuanYi Zen Hei"/>
        <family val="2"/>
      </rPr>
      <t xml:space="preserve">비고</t>
    </r>
  </si>
  <si>
    <t xml:space="preserve">파란 글씨</t>
  </si>
  <si>
    <r>
      <rPr>
        <sz val="10"/>
        <rFont val="WenQuanYi Zen Hei"/>
        <family val="2"/>
      </rPr>
      <t xml:space="preserve">입력값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하드코딩</t>
    </r>
    <r>
      <rPr>
        <sz val="10"/>
        <rFont val="Malgun Gothic"/>
        <family val="0"/>
        <charset val="1"/>
      </rPr>
      <t xml:space="preserve">)</t>
    </r>
  </si>
  <si>
    <t xml:space="preserve">검정 글씨</t>
  </si>
  <si>
    <t xml:space="preserve">수식 자동 계산 — 덮어쓰지 마십시오</t>
  </si>
  <si>
    <r>
      <rPr>
        <b val="true"/>
        <sz val="12"/>
        <rFont val="Malgun Gothic"/>
        <family val="0"/>
        <charset val="1"/>
      </rPr>
      <t xml:space="preserve">3. </t>
    </r>
    <r>
      <rPr>
        <b val="true"/>
        <sz val="12"/>
        <rFont val="WenQuanYi Zen Hei"/>
        <family val="2"/>
      </rPr>
      <t xml:space="preserve">판정방향 코드</t>
    </r>
  </si>
  <si>
    <t xml:space="preserve">이상</t>
  </si>
  <si>
    <r>
      <rPr>
        <sz val="10"/>
        <rFont val="WenQuanYi Zen Hei"/>
        <family val="2"/>
      </rPr>
      <t xml:space="preserve">실측값이 기준값 이상이면 합격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Malgun Gothic"/>
        <family val="0"/>
        <charset val="1"/>
      </rPr>
      <t xml:space="preserve">: </t>
    </r>
    <r>
      <rPr>
        <sz val="10"/>
        <rFont val="WenQuanYi Zen Hei"/>
        <family val="2"/>
      </rPr>
      <t xml:space="preserve">절연저항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효율</t>
    </r>
    <r>
      <rPr>
        <sz val="10"/>
        <rFont val="Malgun Gothic"/>
        <family val="0"/>
        <charset val="1"/>
      </rPr>
      <t xml:space="preserve">, MPPT)</t>
    </r>
  </si>
  <si>
    <t xml:space="preserve">이하</t>
  </si>
  <si>
    <r>
      <rPr>
        <sz val="10"/>
        <rFont val="WenQuanYi Zen Hei"/>
        <family val="2"/>
      </rPr>
      <t xml:space="preserve">실측값이 기준값 이하이면 합격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Malgun Gothic"/>
        <family val="0"/>
        <charset val="1"/>
      </rPr>
      <t xml:space="preserve">: THD, </t>
    </r>
    <r>
      <rPr>
        <sz val="10"/>
        <rFont val="WenQuanYi Zen Hei"/>
        <family val="2"/>
      </rPr>
      <t xml:space="preserve">누설전류</t>
    </r>
    <r>
      <rPr>
        <sz val="10"/>
        <rFont val="Malgun Gothic"/>
        <family val="0"/>
        <charset val="1"/>
      </rPr>
      <t xml:space="preserve">, DC</t>
    </r>
    <r>
      <rPr>
        <sz val="10"/>
        <rFont val="WenQuanYi Zen Hei"/>
        <family val="2"/>
      </rPr>
      <t xml:space="preserve">분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트립시간</t>
    </r>
    <r>
      <rPr>
        <sz val="10"/>
        <rFont val="Malgun Gothic"/>
        <family val="0"/>
        <charset val="1"/>
      </rPr>
      <t xml:space="preserve">)</t>
    </r>
  </si>
  <si>
    <t xml:space="preserve">양부</t>
  </si>
  <si>
    <r>
      <rPr>
        <sz val="10"/>
        <rFont val="WenQuanYi Zen Hei"/>
        <family val="2"/>
      </rPr>
      <t xml:space="preserve">수치 판정이 아닌 항목 — </t>
    </r>
    <r>
      <rPr>
        <sz val="10"/>
        <rFont val="Malgun Gothic"/>
        <family val="0"/>
        <charset val="1"/>
      </rPr>
      <t xml:space="preserve">'</t>
    </r>
    <r>
      <rPr>
        <sz val="10"/>
        <rFont val="WenQuanYi Zen Hei"/>
        <family val="2"/>
      </rPr>
      <t xml:space="preserve">기능판정</t>
    </r>
    <r>
      <rPr>
        <sz val="10"/>
        <rFont val="Malgun Gothic"/>
        <family val="0"/>
        <charset val="1"/>
      </rPr>
      <t xml:space="preserve">' </t>
    </r>
    <r>
      <rPr>
        <sz val="10"/>
        <rFont val="WenQuanYi Zen Hei"/>
        <family val="2"/>
      </rPr>
      <t xml:space="preserve">칸에 합격</t>
    </r>
    <r>
      <rPr>
        <sz val="10"/>
        <rFont val="Malgun Gothic"/>
        <family val="0"/>
        <charset val="1"/>
      </rPr>
      <t xml:space="preserve">/</t>
    </r>
    <r>
      <rPr>
        <sz val="10"/>
        <rFont val="WenQuanYi Zen Hei"/>
        <family val="2"/>
      </rPr>
      <t xml:space="preserve">불합격 직접 입력</t>
    </r>
  </si>
  <si>
    <r>
      <rPr>
        <b val="true"/>
        <sz val="12"/>
        <rFont val="Malgun Gothic"/>
        <family val="0"/>
        <charset val="1"/>
      </rPr>
      <t xml:space="preserve">4. </t>
    </r>
    <r>
      <rPr>
        <b val="true"/>
        <sz val="12"/>
        <rFont val="WenQuanYi Zen Hei"/>
        <family val="2"/>
      </rPr>
      <t xml:space="preserve">입력 예시 </t>
    </r>
    <r>
      <rPr>
        <b val="true"/>
        <sz val="12"/>
        <rFont val="Malgun Gothic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아래는 형식 예시일 뿐</t>
    </r>
    <r>
      <rPr>
        <b val="true"/>
        <sz val="12"/>
        <rFont val="Malgun Gothic"/>
        <family val="0"/>
        <charset val="1"/>
      </rPr>
      <t xml:space="preserve">, </t>
    </r>
    <r>
      <rPr>
        <b val="true"/>
        <sz val="12"/>
        <rFont val="WenQuanYi Zen Hei"/>
        <family val="2"/>
      </rPr>
      <t xml:space="preserve">실제 기준값이 아닙니다</t>
    </r>
    <r>
      <rPr>
        <b val="true"/>
        <sz val="12"/>
        <rFont val="Malgun Gothic"/>
        <family val="0"/>
        <charset val="1"/>
      </rPr>
      <t xml:space="preserve">)</t>
    </r>
  </si>
  <si>
    <t xml:space="preserve">번호</t>
  </si>
  <si>
    <t xml:space="preserve">검사항목</t>
  </si>
  <si>
    <t xml:space="preserve">판정방향</t>
  </si>
  <si>
    <t xml:space="preserve">기준값</t>
  </si>
  <si>
    <t xml:space="preserve">실측값</t>
  </si>
  <si>
    <t xml:space="preserve">기능판정</t>
  </si>
  <si>
    <t xml:space="preserve">마진</t>
  </si>
  <si>
    <t xml:space="preserve">최종판정</t>
  </si>
  <si>
    <t xml:space="preserve">교류 출력전류 변형률</t>
  </si>
  <si>
    <t xml:space="preserve">합격</t>
  </si>
  <si>
    <t xml:space="preserve">절연저항</t>
  </si>
  <si>
    <t xml:space="preserve">출력측 단락</t>
  </si>
  <si>
    <r>
      <rPr>
        <i val="true"/>
        <sz val="9"/>
        <color rgb="FFC00000"/>
        <rFont val="WenQuanYi Zen Hei"/>
        <family val="2"/>
      </rPr>
      <t xml:space="preserve">※ 예시의 기준값</t>
    </r>
    <r>
      <rPr>
        <i val="true"/>
        <sz val="9"/>
        <color rgb="FFC00000"/>
        <rFont val="Malgun Gothic"/>
        <family val="0"/>
        <charset val="1"/>
      </rPr>
      <t xml:space="preserve">(5.0 %, 1.0 MΩ)</t>
    </r>
    <r>
      <rPr>
        <i val="true"/>
        <sz val="9"/>
        <color rgb="FFC00000"/>
        <rFont val="WenQuanYi Zen Hei"/>
        <family val="2"/>
      </rPr>
      <t xml:space="preserve">은 공개출처 기반 참고값입니다</t>
    </r>
    <r>
      <rPr>
        <i val="true"/>
        <sz val="9"/>
        <color rgb="FFC00000"/>
        <rFont val="Malgun Gothic"/>
        <family val="0"/>
        <charset val="1"/>
      </rPr>
      <t xml:space="preserve">. </t>
    </r>
    <r>
      <rPr>
        <i val="true"/>
        <sz val="9"/>
        <color rgb="FFC00000"/>
        <rFont val="WenQuanYi Zen Hei"/>
        <family val="2"/>
      </rPr>
      <t xml:space="preserve">심사기준 본문으로 반드시 대체하십시오</t>
    </r>
    <r>
      <rPr>
        <i val="true"/>
        <sz val="9"/>
        <color rgb="FFC00000"/>
        <rFont val="Malgun Gothic"/>
        <family val="0"/>
        <charset val="1"/>
      </rPr>
      <t xml:space="preserve">.</t>
    </r>
  </si>
  <si>
    <r>
      <rPr>
        <b val="true"/>
        <sz val="12"/>
        <rFont val="Malgun Gothic"/>
        <family val="0"/>
        <charset val="1"/>
      </rPr>
      <t xml:space="preserve">5. </t>
    </r>
    <r>
      <rPr>
        <b val="true"/>
        <sz val="12"/>
        <rFont val="WenQuanYi Zen Hei"/>
        <family val="2"/>
      </rPr>
      <t xml:space="preserve">채우려면 필요한 자료</t>
    </r>
  </si>
  <si>
    <r>
      <rPr>
        <sz val="10"/>
        <rFont val="Malgun Gothic"/>
        <family val="0"/>
        <charset val="1"/>
      </rPr>
      <t xml:space="preserve">• KS</t>
    </r>
    <r>
      <rPr>
        <sz val="10"/>
        <rFont val="WenQuanYi Zen Hei"/>
        <family val="2"/>
      </rPr>
      <t xml:space="preserve">인증심사기준 본문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시험조건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판정기준</t>
    </r>
    <r>
      <rPr>
        <sz val="10"/>
        <rFont val="Malgun Gothic"/>
        <family val="0"/>
        <charset val="1"/>
      </rPr>
      <t xml:space="preserve">) → '</t>
    </r>
    <r>
      <rPr>
        <sz val="10"/>
        <rFont val="WenQuanYi Zen Hei"/>
        <family val="2"/>
      </rPr>
      <t xml:space="preserve">기준값</t>
    </r>
    <r>
      <rPr>
        <sz val="10"/>
        <rFont val="Malgun Gothic"/>
        <family val="0"/>
        <charset val="1"/>
      </rPr>
      <t xml:space="preserve">' </t>
    </r>
    <r>
      <rPr>
        <sz val="10"/>
        <rFont val="WenQuanYi Zen Hei"/>
        <family val="2"/>
      </rPr>
      <t xml:space="preserve">칸 전체</t>
    </r>
  </si>
  <si>
    <r>
      <rPr>
        <sz val="10"/>
        <rFont val="WenQuanYi Zen Hei"/>
        <family val="2"/>
      </rPr>
      <t xml:space="preserve">• 기존 시험성적서 → </t>
    </r>
    <r>
      <rPr>
        <sz val="10"/>
        <rFont val="Malgun Gothic"/>
        <family val="0"/>
        <charset val="1"/>
      </rPr>
      <t xml:space="preserve">'</t>
    </r>
    <r>
      <rPr>
        <sz val="10"/>
        <rFont val="WenQuanYi Zen Hei"/>
        <family val="2"/>
      </rPr>
      <t xml:space="preserve">실측값</t>
    </r>
    <r>
      <rPr>
        <sz val="10"/>
        <rFont val="Malgun Gothic"/>
        <family val="0"/>
        <charset val="1"/>
      </rPr>
      <t xml:space="preserve">' </t>
    </r>
    <r>
      <rPr>
        <sz val="10"/>
        <rFont val="WenQuanYi Zen Hei"/>
        <family val="2"/>
      </rPr>
      <t xml:space="preserve">칸</t>
    </r>
    <r>
      <rPr>
        <sz val="10"/>
        <rFont val="Malgun Gothic"/>
        <family val="0"/>
        <charset val="1"/>
      </rPr>
      <t xml:space="preserve">, </t>
    </r>
    <r>
      <rPr>
        <sz val="10"/>
        <rFont val="WenQuanYi Zen Hei"/>
        <family val="2"/>
      </rPr>
      <t xml:space="preserve">현재 마진 산출</t>
    </r>
  </si>
  <si>
    <r>
      <rPr>
        <sz val="10"/>
        <rFont val="WenQuanYi Zen Hei"/>
        <family val="2"/>
      </rPr>
      <t xml:space="preserve">• 보유 계측기 목록</t>
    </r>
    <r>
      <rPr>
        <sz val="10"/>
        <rFont val="Malgun Gothic"/>
        <family val="0"/>
        <charset val="1"/>
      </rPr>
      <t xml:space="preserve">·</t>
    </r>
    <r>
      <rPr>
        <sz val="10"/>
        <rFont val="WenQuanYi Zen Hei"/>
        <family val="2"/>
      </rPr>
      <t xml:space="preserve">교정성적서 → 측정 불확도 적합성 판정</t>
    </r>
  </si>
  <si>
    <r>
      <rPr>
        <sz val="10"/>
        <rFont val="Malgun Gothic"/>
        <family val="0"/>
        <charset val="1"/>
      </rPr>
      <t xml:space="preserve">• V1200 </t>
    </r>
    <r>
      <rPr>
        <sz val="10"/>
        <rFont val="WenQuanYi Zen Hei"/>
        <family val="2"/>
      </rPr>
      <t xml:space="preserve">정격 사양 → 정격 의존 항목의 절대 한계값 </t>
    </r>
    <r>
      <rPr>
        <sz val="10"/>
        <rFont val="Malgun Gothic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Malgun Gothic"/>
        <family val="0"/>
        <charset val="1"/>
      </rPr>
      <t xml:space="preserve">: 18</t>
    </r>
    <r>
      <rPr>
        <sz val="10"/>
        <rFont val="WenQuanYi Zen Hei"/>
        <family val="2"/>
      </rPr>
      <t xml:space="preserve">번 </t>
    </r>
    <r>
      <rPr>
        <sz val="10"/>
        <rFont val="Malgun Gothic"/>
        <family val="0"/>
        <charset val="1"/>
      </rPr>
      <t xml:space="preserve">DC</t>
    </r>
    <r>
      <rPr>
        <sz val="10"/>
        <rFont val="WenQuanYi Zen Hei"/>
        <family val="2"/>
      </rPr>
      <t xml:space="preserve">분 </t>
    </r>
    <r>
      <rPr>
        <sz val="10"/>
        <rFont val="Malgun Gothic"/>
        <family val="0"/>
        <charset val="1"/>
      </rPr>
      <t xml:space="preserve">mA </t>
    </r>
    <r>
      <rPr>
        <sz val="10"/>
        <rFont val="WenQuanYi Zen Hei"/>
        <family val="2"/>
      </rPr>
      <t xml:space="preserve">환산</t>
    </r>
    <r>
      <rPr>
        <sz val="10"/>
        <rFont val="Malgun Gothic"/>
        <family val="0"/>
        <charset val="1"/>
      </rPr>
      <t xml:space="preserve">)</t>
    </r>
  </si>
  <si>
    <r>
      <rPr>
        <b val="true"/>
        <sz val="15"/>
        <color rgb="FF1F3864"/>
        <rFont val="WenQuanYi Zen Hei"/>
        <family val="2"/>
      </rPr>
      <t xml:space="preserve">마이크로인버터 </t>
    </r>
    <r>
      <rPr>
        <b val="true"/>
        <sz val="15"/>
        <color rgb="FF1F3864"/>
        <rFont val="Malgun Gothic"/>
        <family val="0"/>
        <charset val="1"/>
      </rPr>
      <t xml:space="preserve">V1200 — </t>
    </r>
    <r>
      <rPr>
        <b val="true"/>
        <sz val="15"/>
        <color rgb="FF1F3864"/>
        <rFont val="WenQuanYi Zen Hei"/>
        <family val="2"/>
      </rPr>
      <t xml:space="preserve">제품시험 측정 대장 </t>
    </r>
    <r>
      <rPr>
        <b val="true"/>
        <sz val="15"/>
        <color rgb="FF1F3864"/>
        <rFont val="Malgun Gothic"/>
        <family val="0"/>
        <charset val="1"/>
      </rPr>
      <t xml:space="preserve">(31</t>
    </r>
    <r>
      <rPr>
        <b val="true"/>
        <sz val="15"/>
        <color rgb="FF1F3864"/>
        <rFont val="WenQuanYi Zen Hei"/>
        <family val="2"/>
      </rPr>
      <t xml:space="preserve">항목</t>
    </r>
    <r>
      <rPr>
        <b val="true"/>
        <sz val="15"/>
        <color rgb="FF1F3864"/>
        <rFont val="Malgun Gothic"/>
        <family val="0"/>
        <charset val="1"/>
      </rPr>
      <t xml:space="preserve">)</t>
    </r>
  </si>
  <si>
    <r>
      <rPr>
        <i val="true"/>
        <sz val="9"/>
        <color rgb="FFC00000"/>
        <rFont val="WenQuanYi Zen Hei"/>
        <family val="2"/>
      </rPr>
      <t xml:space="preserve">노란색 칸만 입력하십시오 </t>
    </r>
    <r>
      <rPr>
        <i val="true"/>
        <sz val="9"/>
        <color rgb="FFC00000"/>
        <rFont val="Malgun Gothic"/>
        <family val="0"/>
        <charset val="1"/>
      </rPr>
      <t xml:space="preserve">(</t>
    </r>
    <r>
      <rPr>
        <i val="true"/>
        <sz val="9"/>
        <color rgb="FFC00000"/>
        <rFont val="WenQuanYi Zen Hei"/>
        <family val="2"/>
      </rPr>
      <t xml:space="preserve">기준값 </t>
    </r>
    <r>
      <rPr>
        <i val="true"/>
        <sz val="9"/>
        <color rgb="FFC00000"/>
        <rFont val="Malgun Gothic"/>
        <family val="0"/>
        <charset val="1"/>
      </rPr>
      <t xml:space="preserve">/ </t>
    </r>
    <r>
      <rPr>
        <i val="true"/>
        <sz val="9"/>
        <color rgb="FFC00000"/>
        <rFont val="WenQuanYi Zen Hei"/>
        <family val="2"/>
      </rPr>
      <t xml:space="preserve">실측값 </t>
    </r>
    <r>
      <rPr>
        <i val="true"/>
        <sz val="9"/>
        <color rgb="FFC00000"/>
        <rFont val="Malgun Gothic"/>
        <family val="0"/>
        <charset val="1"/>
      </rPr>
      <t xml:space="preserve">/ </t>
    </r>
    <r>
      <rPr>
        <i val="true"/>
        <sz val="9"/>
        <color rgb="FFC00000"/>
        <rFont val="WenQuanYi Zen Hei"/>
        <family val="2"/>
      </rPr>
      <t xml:space="preserve">기능판정</t>
    </r>
    <r>
      <rPr>
        <i val="true"/>
        <sz val="9"/>
        <color rgb="FFC00000"/>
        <rFont val="Malgun Gothic"/>
        <family val="0"/>
        <charset val="1"/>
      </rPr>
      <t xml:space="preserve">). </t>
    </r>
    <r>
      <rPr>
        <i val="true"/>
        <sz val="9"/>
        <color rgb="FFC00000"/>
        <rFont val="WenQuanYi Zen Hei"/>
        <family val="2"/>
      </rPr>
      <t xml:space="preserve">마진</t>
    </r>
    <r>
      <rPr>
        <i val="true"/>
        <sz val="9"/>
        <color rgb="FFC00000"/>
        <rFont val="Malgun Gothic"/>
        <family val="0"/>
        <charset val="1"/>
      </rPr>
      <t xml:space="preserve">·</t>
    </r>
    <r>
      <rPr>
        <i val="true"/>
        <sz val="9"/>
        <color rgb="FFC00000"/>
        <rFont val="WenQuanYi Zen Hei"/>
        <family val="2"/>
      </rPr>
      <t xml:space="preserve">최종판정은 자동 계산됩니다</t>
    </r>
    <r>
      <rPr>
        <i val="true"/>
        <sz val="9"/>
        <color rgb="FFC00000"/>
        <rFont val="Malgun Gothic"/>
        <family val="0"/>
        <charset val="1"/>
      </rPr>
      <t xml:space="preserve">.  </t>
    </r>
    <r>
      <rPr>
        <i val="true"/>
        <sz val="9"/>
        <color rgb="FFC00000"/>
        <rFont val="WenQuanYi Zen Hei"/>
        <family val="2"/>
      </rPr>
      <t xml:space="preserve">기준값은 심사기준 본문에서 채우십시오 — </t>
    </r>
    <r>
      <rPr>
        <i val="true"/>
        <sz val="9"/>
        <color rgb="FFC00000"/>
        <rFont val="Malgun Gothic"/>
        <family val="0"/>
        <charset val="1"/>
      </rPr>
      <t xml:space="preserve">'</t>
    </r>
    <r>
      <rPr>
        <i val="true"/>
        <sz val="9"/>
        <color rgb="FFC00000"/>
        <rFont val="WenQuanYi Zen Hei"/>
        <family val="2"/>
      </rPr>
      <t xml:space="preserve">참고값</t>
    </r>
    <r>
      <rPr>
        <i val="true"/>
        <sz val="9"/>
        <color rgb="FFC00000"/>
        <rFont val="Malgun Gothic"/>
        <family val="0"/>
        <charset val="1"/>
      </rPr>
      <t xml:space="preserve">'</t>
    </r>
    <r>
      <rPr>
        <i val="true"/>
        <sz val="9"/>
        <color rgb="FFC00000"/>
        <rFont val="WenQuanYi Zen Hei"/>
        <family val="2"/>
      </rPr>
      <t xml:space="preserve">은 공개출처 기반 비구속 값이며 판정 근거가 아닙니다</t>
    </r>
    <r>
      <rPr>
        <i val="true"/>
        <sz val="9"/>
        <color rgb="FFC00000"/>
        <rFont val="Malgun Gothic"/>
        <family val="0"/>
        <charset val="1"/>
      </rPr>
      <t xml:space="preserve">.</t>
    </r>
  </si>
  <si>
    <t xml:space="preserve">결함구분</t>
  </si>
  <si>
    <t xml:space="preserve">측정량</t>
  </si>
  <si>
    <t xml:space="preserve">단위</t>
  </si>
  <si>
    <r>
      <rPr>
        <b val="true"/>
        <sz val="10"/>
        <color rgb="FFFFFFFF"/>
        <rFont val="WenQuanYi Zen Hei"/>
        <family val="2"/>
      </rPr>
      <t xml:space="preserve">참고값 </t>
    </r>
    <r>
      <rPr>
        <b val="true"/>
        <sz val="10"/>
        <color rgb="FFFFFFFF"/>
        <rFont val="Malgun Gothic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비구속</t>
    </r>
    <r>
      <rPr>
        <b val="true"/>
        <sz val="10"/>
        <color rgb="FFFFFFFF"/>
        <rFont val="Malgun Gothic"/>
        <family val="0"/>
        <charset val="1"/>
      </rPr>
      <t xml:space="preserve">)</t>
    </r>
  </si>
  <si>
    <t xml:space="preserve">측정조건</t>
  </si>
  <si>
    <t xml:space="preserve">계측기</t>
  </si>
  <si>
    <t xml:space="preserve">비고</t>
  </si>
  <si>
    <t xml:space="preserve">구조 시험</t>
  </si>
  <si>
    <t xml:space="preserve">경결함</t>
  </si>
  <si>
    <r>
      <rPr>
        <sz val="9"/>
        <rFont val="WenQuanYi Zen Hei"/>
        <family val="2"/>
      </rPr>
      <t xml:space="preserve">외관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치수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질량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표시사항</t>
    </r>
  </si>
  <si>
    <r>
      <rPr>
        <sz val="9"/>
        <rFont val="Malgun Gothic"/>
        <family val="0"/>
        <charset val="1"/>
      </rPr>
      <t xml:space="preserve">mm / kg / </t>
    </r>
    <r>
      <rPr>
        <sz val="9"/>
        <rFont val="WenQuanYi Zen Hei"/>
        <family val="2"/>
      </rPr>
      <t xml:space="preserve">양부</t>
    </r>
  </si>
  <si>
    <t xml:space="preserve">—</t>
  </si>
  <si>
    <r>
      <rPr>
        <sz val="9"/>
        <rFont val="WenQuanYi Zen Hei"/>
        <family val="2"/>
      </rPr>
      <t xml:space="preserve">도면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사양서 대조</t>
    </r>
  </si>
  <si>
    <r>
      <rPr>
        <sz val="9"/>
        <rFont val="WenQuanYi Zen Hei"/>
        <family val="2"/>
      </rPr>
      <t xml:space="preserve">캘리퍼스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저울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육안</t>
    </r>
  </si>
  <si>
    <t xml:space="preserve">절연저항 시험</t>
  </si>
  <si>
    <t xml:space="preserve">치명결함</t>
  </si>
  <si>
    <t xml:space="preserve">MΩ</t>
  </si>
  <si>
    <r>
      <rPr>
        <sz val="9"/>
        <rFont val="Malgun Gothic"/>
        <family val="0"/>
        <charset val="1"/>
      </rPr>
      <t xml:space="preserve">1 MΩ </t>
    </r>
    <r>
      <rPr>
        <sz val="9"/>
        <rFont val="WenQuanYi Zen Hei"/>
        <family val="2"/>
      </rPr>
      <t xml:space="preserve">이상 </t>
    </r>
    <r>
      <rPr>
        <sz val="9"/>
        <rFont val="Malgun Gothic"/>
        <family val="0"/>
        <charset val="1"/>
      </rPr>
      <t xml:space="preserve">(</t>
    </r>
    <r>
      <rPr>
        <sz val="9"/>
        <rFont val="WenQuanYi Zen Hei"/>
        <family val="2"/>
      </rPr>
      <t xml:space="preserve">업계통용</t>
    </r>
    <r>
      <rPr>
        <sz val="9"/>
        <rFont val="Malgun Gothic"/>
        <family val="0"/>
        <charset val="1"/>
      </rPr>
      <t xml:space="preserve">)</t>
    </r>
  </si>
  <si>
    <r>
      <rPr>
        <sz val="9"/>
        <rFont val="Malgun Gothic"/>
        <family val="0"/>
        <charset val="1"/>
      </rPr>
      <t xml:space="preserve">DC 500V </t>
    </r>
    <r>
      <rPr>
        <sz val="9"/>
        <rFont val="WenQuanYi Zen Hei"/>
        <family val="2"/>
      </rPr>
      <t xml:space="preserve">인가</t>
    </r>
    <r>
      <rPr>
        <sz val="9"/>
        <rFont val="Malgun Gothic"/>
        <family val="0"/>
        <charset val="1"/>
      </rPr>
      <t xml:space="preserve">. </t>
    </r>
    <r>
      <rPr>
        <sz val="9"/>
        <rFont val="WenQuanYi Zen Hei"/>
        <family val="2"/>
      </rPr>
      <t xml:space="preserve">개소</t>
    </r>
    <r>
      <rPr>
        <sz val="9"/>
        <rFont val="Malgun Gothic"/>
        <family val="0"/>
        <charset val="1"/>
      </rPr>
      <t xml:space="preserve">: PV-</t>
    </r>
    <r>
      <rPr>
        <sz val="9"/>
        <rFont val="WenQuanYi Zen Hei"/>
        <family val="2"/>
      </rPr>
      <t xml:space="preserve">외함 </t>
    </r>
    <r>
      <rPr>
        <sz val="9"/>
        <rFont val="Malgun Gothic"/>
        <family val="0"/>
        <charset val="1"/>
      </rPr>
      <t xml:space="preserve">/ AC-</t>
    </r>
    <r>
      <rPr>
        <sz val="9"/>
        <rFont val="WenQuanYi Zen Hei"/>
        <family val="2"/>
      </rPr>
      <t xml:space="preserve">외함 </t>
    </r>
    <r>
      <rPr>
        <sz val="9"/>
        <rFont val="Malgun Gothic"/>
        <family val="0"/>
        <charset val="1"/>
      </rPr>
      <t xml:space="preserve">/ PV-AC</t>
    </r>
  </si>
  <si>
    <r>
      <rPr>
        <sz val="9"/>
        <rFont val="WenQuanYi Zen Hei"/>
        <family val="2"/>
      </rPr>
      <t xml:space="preserve">절연저항계</t>
    </r>
    <r>
      <rPr>
        <sz val="9"/>
        <rFont val="Malgun Gothic"/>
        <family val="0"/>
        <charset val="1"/>
      </rPr>
      <t xml:space="preserve">(</t>
    </r>
    <r>
      <rPr>
        <sz val="9"/>
        <rFont val="WenQuanYi Zen Hei"/>
        <family val="2"/>
      </rPr>
      <t xml:space="preserve">메거</t>
    </r>
    <r>
      <rPr>
        <sz val="9"/>
        <rFont val="Malgun Gothic"/>
        <family val="0"/>
        <charset val="1"/>
      </rPr>
      <t xml:space="preserve">)</t>
    </r>
  </si>
  <si>
    <t xml:space="preserve">내전압 시험</t>
  </si>
  <si>
    <r>
      <rPr>
        <sz val="9"/>
        <rFont val="WenQuanYi Zen Hei"/>
        <family val="2"/>
      </rPr>
      <t xml:space="preserve">절연파괴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섬락 유무</t>
    </r>
  </si>
  <si>
    <r>
      <rPr>
        <sz val="9"/>
        <rFont val="WenQuanYi Zen Hei"/>
        <family val="2"/>
      </rPr>
      <t xml:space="preserve">양부 </t>
    </r>
    <r>
      <rPr>
        <sz val="9"/>
        <rFont val="Malgun Gothic"/>
        <family val="0"/>
        <charset val="1"/>
      </rPr>
      <t xml:space="preserve">(mA)</t>
    </r>
  </si>
  <si>
    <r>
      <rPr>
        <sz val="9"/>
        <rFont val="WenQuanYi Zen Hei"/>
        <family val="2"/>
      </rPr>
      <t xml:space="preserve">규정 </t>
    </r>
    <r>
      <rPr>
        <sz val="9"/>
        <rFont val="Malgun Gothic"/>
        <family val="0"/>
        <charset val="1"/>
      </rPr>
      <t xml:space="preserve">AC</t>
    </r>
    <r>
      <rPr>
        <sz val="9"/>
        <rFont val="WenQuanYi Zen Hei"/>
        <family val="2"/>
      </rPr>
      <t xml:space="preserve">전압 </t>
    </r>
    <r>
      <rPr>
        <sz val="9"/>
        <rFont val="Malgun Gothic"/>
        <family val="0"/>
        <charset val="1"/>
      </rPr>
      <t xml:space="preserve">1</t>
    </r>
    <r>
      <rPr>
        <sz val="9"/>
        <rFont val="WenQuanYi Zen Hei"/>
        <family val="2"/>
      </rPr>
      <t xml:space="preserve">분간</t>
    </r>
    <r>
      <rPr>
        <sz val="9"/>
        <rFont val="Malgun Gothic"/>
        <family val="0"/>
        <charset val="1"/>
      </rPr>
      <t xml:space="preserve">. </t>
    </r>
    <r>
      <rPr>
        <sz val="9"/>
        <rFont val="WenQuanYi Zen Hei"/>
        <family val="2"/>
      </rPr>
      <t xml:space="preserve">개소 </t>
    </r>
    <r>
      <rPr>
        <sz val="9"/>
        <rFont val="Malgun Gothic"/>
        <family val="0"/>
        <charset val="1"/>
      </rPr>
      <t xml:space="preserve">2</t>
    </r>
    <r>
      <rPr>
        <sz val="9"/>
        <rFont val="WenQuanYi Zen Hei"/>
        <family val="2"/>
      </rPr>
      <t xml:space="preserve">번과 동일</t>
    </r>
  </si>
  <si>
    <r>
      <rPr>
        <sz val="9"/>
        <rFont val="WenQuanYi Zen Hei"/>
        <family val="2"/>
      </rPr>
      <t xml:space="preserve">내전압시험기</t>
    </r>
    <r>
      <rPr>
        <sz val="9"/>
        <rFont val="Malgun Gothic"/>
        <family val="0"/>
        <charset val="1"/>
      </rPr>
      <t xml:space="preserve">(Hi-pot)</t>
    </r>
  </si>
  <si>
    <t xml:space="preserve">감전 보호 시험</t>
  </si>
  <si>
    <r>
      <rPr>
        <sz val="9"/>
        <rFont val="WenQuanYi Zen Hei"/>
        <family val="2"/>
      </rPr>
      <t xml:space="preserve">접촉전류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보호도체전류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접지연속성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잔류전압</t>
    </r>
  </si>
  <si>
    <t xml:space="preserve">mA / mΩ / V</t>
  </si>
  <si>
    <r>
      <rPr>
        <sz val="9"/>
        <rFont val="WenQuanYi Zen Hei"/>
        <family val="2"/>
      </rPr>
      <t xml:space="preserve">정격운전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최악 전압조건</t>
    </r>
  </si>
  <si>
    <r>
      <rPr>
        <sz val="9"/>
        <rFont val="Malgun Gothic"/>
        <family val="0"/>
        <charset val="1"/>
      </rPr>
      <t xml:space="preserve">IEC 60990 </t>
    </r>
    <r>
      <rPr>
        <sz val="9"/>
        <rFont val="WenQuanYi Zen Hei"/>
        <family val="2"/>
      </rPr>
      <t xml:space="preserve">측정망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접지연속성시험기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오실로스코프</t>
    </r>
  </si>
  <si>
    <t xml:space="preserve">절연거리 시험</t>
  </si>
  <si>
    <r>
      <rPr>
        <sz val="9"/>
        <rFont val="WenQuanYi Zen Hei"/>
        <family val="2"/>
      </rPr>
      <t xml:space="preserve">공간거리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연면거리</t>
    </r>
  </si>
  <si>
    <t xml:space="preserve">mm</t>
  </si>
  <si>
    <r>
      <rPr>
        <sz val="9"/>
        <rFont val="WenQuanYi Zen Hei"/>
        <family val="2"/>
      </rPr>
      <t xml:space="preserve">최악조건</t>
    </r>
    <r>
      <rPr>
        <sz val="9"/>
        <rFont val="Malgun Gothic"/>
        <family val="0"/>
        <charset val="1"/>
      </rPr>
      <t xml:space="preserve">(</t>
    </r>
    <r>
      <rPr>
        <sz val="9"/>
        <rFont val="WenQuanYi Zen Hei"/>
        <family val="2"/>
      </rPr>
      <t xml:space="preserve">부품공차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조립편차 누적</t>
    </r>
    <r>
      <rPr>
        <sz val="9"/>
        <rFont val="Malgun Gothic"/>
        <family val="0"/>
        <charset val="1"/>
      </rPr>
      <t xml:space="preserve">). </t>
    </r>
    <r>
      <rPr>
        <sz val="9"/>
        <rFont val="WenQuanYi Zen Hei"/>
        <family val="2"/>
      </rPr>
      <t xml:space="preserve">배리어별</t>
    </r>
  </si>
  <si>
    <r>
      <rPr>
        <sz val="9"/>
        <rFont val="WenQuanYi Zen Hei"/>
        <family val="2"/>
      </rPr>
      <t xml:space="preserve">측정현미경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게이지</t>
    </r>
    <r>
      <rPr>
        <sz val="9"/>
        <rFont val="Malgun Gothic"/>
        <family val="0"/>
        <charset val="1"/>
      </rPr>
      <t xml:space="preserve">, 3D</t>
    </r>
    <r>
      <rPr>
        <sz val="9"/>
        <rFont val="WenQuanYi Zen Hei"/>
        <family val="2"/>
      </rPr>
      <t xml:space="preserve">측정기</t>
    </r>
  </si>
  <si>
    <t xml:space="preserve">출력 과전압 및 부족전압 보호 기능 시험</t>
  </si>
  <si>
    <r>
      <rPr>
        <sz val="9"/>
        <rFont val="WenQuanYi Zen Hei"/>
        <family val="2"/>
      </rPr>
      <t xml:space="preserve">동작 정정치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트립시간</t>
    </r>
  </si>
  <si>
    <t xml:space="preserve">V(%) / s</t>
  </si>
  <si>
    <t xml:space="preserve">V&lt;50%:0.5s, 50~88%:2.0s, 110~120%:1.0s, ≥120%:0.16s</t>
  </si>
  <si>
    <r>
      <rPr>
        <sz val="9"/>
        <rFont val="WenQuanYi Zen Hei"/>
        <family val="2"/>
      </rPr>
      <t xml:space="preserve">계통시뮬레이터 전압 스텝</t>
    </r>
    <r>
      <rPr>
        <sz val="9"/>
        <rFont val="Malgun Gothic"/>
        <family val="0"/>
        <charset val="1"/>
      </rPr>
      <t xml:space="preserve">. </t>
    </r>
    <r>
      <rPr>
        <sz val="9"/>
        <rFont val="WenQuanYi Zen Hei"/>
        <family val="2"/>
      </rPr>
      <t xml:space="preserve">구간별</t>
    </r>
  </si>
  <si>
    <r>
      <rPr>
        <sz val="9"/>
        <rFont val="WenQuanYi Zen Hei"/>
        <family val="2"/>
      </rPr>
      <t xml:space="preserve">프로그래머블 </t>
    </r>
    <r>
      <rPr>
        <sz val="9"/>
        <rFont val="Malgun Gothic"/>
        <family val="0"/>
        <charset val="1"/>
      </rPr>
      <t xml:space="preserve">AC</t>
    </r>
    <r>
      <rPr>
        <sz val="9"/>
        <rFont val="WenQuanYi Zen Hei"/>
        <family val="2"/>
      </rPr>
      <t xml:space="preserve">소스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오실로스코프</t>
    </r>
  </si>
  <si>
    <t xml:space="preserve">주파수상승 및 저하 보호 기능 시험</t>
  </si>
  <si>
    <t xml:space="preserve">중결함</t>
  </si>
  <si>
    <t xml:space="preserve">Hz / s</t>
  </si>
  <si>
    <r>
      <rPr>
        <sz val="9"/>
        <rFont val="Malgun Gothic"/>
        <family val="0"/>
        <charset val="1"/>
      </rPr>
      <t xml:space="preserve">&gt;60.5Hz:0.16s, &lt;59.3Hz:0.16s / </t>
    </r>
    <r>
      <rPr>
        <sz val="9"/>
        <rFont val="WenQuanYi Zen Hei"/>
        <family val="2"/>
      </rPr>
      <t xml:space="preserve">한전권고 </t>
    </r>
    <r>
      <rPr>
        <sz val="9"/>
        <rFont val="Malgun Gothic"/>
        <family val="0"/>
        <charset val="1"/>
      </rPr>
      <t xml:space="preserve">57.5Hz</t>
    </r>
    <r>
      <rPr>
        <sz val="9"/>
        <rFont val="WenQuanYi Zen Hei"/>
        <family val="2"/>
      </rPr>
      <t xml:space="preserve">미만</t>
    </r>
  </si>
  <si>
    <r>
      <rPr>
        <sz val="9"/>
        <rFont val="WenQuanYi Zen Hei"/>
        <family val="2"/>
      </rPr>
      <t xml:space="preserve">계통시뮬레이터 주파수 스텝</t>
    </r>
    <r>
      <rPr>
        <sz val="9"/>
        <rFont val="Malgun Gothic"/>
        <family val="0"/>
        <charset val="1"/>
      </rPr>
      <t xml:space="preserve">. 299</t>
    </r>
    <r>
      <rPr>
        <sz val="9"/>
        <rFont val="WenQuanYi Zen Hei"/>
        <family val="2"/>
      </rPr>
      <t xml:space="preserve">초 지연 시 시험시간 급증</t>
    </r>
  </si>
  <si>
    <t xml:space="preserve">단독운전 방지 기능 시험</t>
  </si>
  <si>
    <t xml:space="preserve">단독운전 검출시간</t>
  </si>
  <si>
    <t xml:space="preserve">s</t>
  </si>
  <si>
    <r>
      <rPr>
        <sz val="9"/>
        <rFont val="Malgun Gothic"/>
        <family val="0"/>
        <charset val="1"/>
      </rPr>
      <t xml:space="preserve">0.5s </t>
    </r>
    <r>
      <rPr>
        <sz val="9"/>
        <rFont val="WenQuanYi Zen Hei"/>
        <family val="2"/>
      </rPr>
      <t xml:space="preserve">이내 </t>
    </r>
    <r>
      <rPr>
        <sz val="9"/>
        <rFont val="Malgun Gothic"/>
        <family val="0"/>
        <charset val="1"/>
      </rPr>
      <t xml:space="preserve">(</t>
    </r>
    <r>
      <rPr>
        <sz val="9"/>
        <rFont val="WenQuanYi Zen Hei"/>
        <family val="2"/>
      </rPr>
      <t xml:space="preserve">연계기술기준</t>
    </r>
    <r>
      <rPr>
        <sz val="9"/>
        <rFont val="Malgun Gothic"/>
        <family val="0"/>
        <charset val="1"/>
      </rPr>
      <t xml:space="preserve">)</t>
    </r>
  </si>
  <si>
    <r>
      <rPr>
        <sz val="9"/>
        <rFont val="Malgun Gothic"/>
        <family val="0"/>
        <charset val="1"/>
      </rPr>
      <t xml:space="preserve">IEC 62116 RLC </t>
    </r>
    <r>
      <rPr>
        <sz val="9"/>
        <rFont val="WenQuanYi Zen Hei"/>
        <family val="2"/>
      </rPr>
      <t xml:space="preserve">병렬공진부하 </t>
    </r>
    <r>
      <rPr>
        <sz val="9"/>
        <rFont val="Malgun Gothic"/>
        <family val="0"/>
        <charset val="1"/>
      </rPr>
      <t xml:space="preserve">Q≈1.0. </t>
    </r>
    <r>
      <rPr>
        <sz val="9"/>
        <rFont val="WenQuanYi Zen Hei"/>
        <family val="2"/>
      </rPr>
      <t xml:space="preserve">출력레벨</t>
    </r>
    <r>
      <rPr>
        <sz val="9"/>
        <rFont val="Malgun Gothic"/>
        <family val="0"/>
        <charset val="1"/>
      </rPr>
      <t xml:space="preserve">×</t>
    </r>
    <r>
      <rPr>
        <sz val="9"/>
        <rFont val="WenQuanYi Zen Hei"/>
        <family val="2"/>
      </rPr>
      <t xml:space="preserve">무효전력 스윕</t>
    </r>
  </si>
  <si>
    <r>
      <rPr>
        <sz val="9"/>
        <rFont val="Malgun Gothic"/>
        <family val="0"/>
        <charset val="1"/>
      </rPr>
      <t xml:space="preserve">RLC </t>
    </r>
    <r>
      <rPr>
        <sz val="9"/>
        <rFont val="WenQuanYi Zen Hei"/>
        <family val="2"/>
      </rPr>
      <t xml:space="preserve">부하뱅크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계통시뮬레이터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오실로스코프</t>
    </r>
  </si>
  <si>
    <t xml:space="preserve">복전 후 일정 시간 투입 방지 기능 시험</t>
  </si>
  <si>
    <t xml:space="preserve">재연계 지연시간</t>
  </si>
  <si>
    <r>
      <rPr>
        <sz val="9"/>
        <rFont val="Malgun Gothic"/>
        <family val="0"/>
        <charset val="1"/>
      </rPr>
      <t xml:space="preserve">5</t>
    </r>
    <r>
      <rPr>
        <sz val="9"/>
        <rFont val="WenQuanYi Zen Hei"/>
        <family val="2"/>
      </rPr>
      <t xml:space="preserve">분</t>
    </r>
    <r>
      <rPr>
        <sz val="9"/>
        <rFont val="Malgun Gothic"/>
        <family val="0"/>
        <charset val="1"/>
      </rPr>
      <t xml:space="preserve">(300s) </t>
    </r>
    <r>
      <rPr>
        <sz val="9"/>
        <rFont val="WenQuanYi Zen Hei"/>
        <family val="2"/>
      </rPr>
      <t xml:space="preserve">이상</t>
    </r>
  </si>
  <si>
    <t xml:space="preserve">계통 정상복구 시점부터 계측</t>
  </si>
  <si>
    <t xml:space="preserve">데이터로거</t>
  </si>
  <si>
    <r>
      <rPr>
        <sz val="9"/>
        <rFont val="WenQuanYi Zen Hei"/>
        <family val="2"/>
      </rPr>
      <t xml:space="preserve">교류 전압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주파수 추종범위 시험</t>
    </r>
  </si>
  <si>
    <r>
      <rPr>
        <sz val="9"/>
        <rFont val="WenQuanYi Zen Hei"/>
        <family val="2"/>
      </rPr>
      <t xml:space="preserve">정상운전 유지 전압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주파수 범위</t>
    </r>
  </si>
  <si>
    <t xml:space="preserve">V / Hz</t>
  </si>
  <si>
    <r>
      <rPr>
        <sz val="9"/>
        <rFont val="WenQuanYi Zen Hei"/>
        <family val="2"/>
      </rPr>
      <t xml:space="preserve">계통시뮬레이터 </t>
    </r>
    <r>
      <rPr>
        <sz val="9"/>
        <rFont val="Malgun Gothic"/>
        <family val="0"/>
        <charset val="1"/>
      </rPr>
      <t xml:space="preserve">ramp </t>
    </r>
    <r>
      <rPr>
        <sz val="9"/>
        <rFont val="WenQuanYi Zen Hei"/>
        <family val="2"/>
      </rPr>
      <t xml:space="preserve">변화로 경계 탐색</t>
    </r>
  </si>
  <si>
    <r>
      <rPr>
        <sz val="9"/>
        <rFont val="WenQuanYi Zen Hei"/>
        <family val="2"/>
      </rPr>
      <t xml:space="preserve">프로그래머블 </t>
    </r>
    <r>
      <rPr>
        <sz val="9"/>
        <rFont val="Malgun Gothic"/>
        <family val="0"/>
        <charset val="1"/>
      </rPr>
      <t xml:space="preserve">AC</t>
    </r>
    <r>
      <rPr>
        <sz val="9"/>
        <rFont val="WenQuanYi Zen Hei"/>
        <family val="2"/>
      </rPr>
      <t xml:space="preserve">소스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전력분석기</t>
    </r>
  </si>
  <si>
    <t xml:space="preserve">교류 출력전류 변형률 시험</t>
  </si>
  <si>
    <r>
      <rPr>
        <sz val="9"/>
        <rFont val="WenQuanYi Zen Hei"/>
        <family val="2"/>
      </rPr>
      <t xml:space="preserve">종합 </t>
    </r>
    <r>
      <rPr>
        <sz val="9"/>
        <rFont val="Malgun Gothic"/>
        <family val="0"/>
        <charset val="1"/>
      </rPr>
      <t xml:space="preserve">THD / </t>
    </r>
    <r>
      <rPr>
        <sz val="9"/>
        <rFont val="WenQuanYi Zen Hei"/>
        <family val="2"/>
      </rPr>
      <t xml:space="preserve">차수별 고조파</t>
    </r>
  </si>
  <si>
    <t xml:space="preserve">%</t>
  </si>
  <si>
    <r>
      <rPr>
        <sz val="9"/>
        <rFont val="WenQuanYi Zen Hei"/>
        <family val="2"/>
      </rPr>
      <t xml:space="preserve">종합 </t>
    </r>
    <r>
      <rPr>
        <sz val="9"/>
        <rFont val="Malgun Gothic"/>
        <family val="0"/>
        <charset val="1"/>
      </rPr>
      <t xml:space="preserve">5% </t>
    </r>
    <r>
      <rPr>
        <sz val="9"/>
        <rFont val="WenQuanYi Zen Hei"/>
        <family val="2"/>
      </rPr>
      <t xml:space="preserve">이하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차수별 </t>
    </r>
    <r>
      <rPr>
        <sz val="9"/>
        <rFont val="Malgun Gothic"/>
        <family val="0"/>
        <charset val="1"/>
      </rPr>
      <t xml:space="preserve">3% </t>
    </r>
    <r>
      <rPr>
        <sz val="9"/>
        <rFont val="WenQuanYi Zen Hei"/>
        <family val="2"/>
      </rPr>
      <t xml:space="preserve">이하</t>
    </r>
  </si>
  <si>
    <r>
      <rPr>
        <sz val="9"/>
        <rFont val="WenQuanYi Zen Hei"/>
        <family val="2"/>
      </rPr>
      <t xml:space="preserve">출력레벨별</t>
    </r>
    <r>
      <rPr>
        <sz val="9"/>
        <rFont val="Malgun Gothic"/>
        <family val="0"/>
        <charset val="1"/>
      </rPr>
      <t xml:space="preserve">(</t>
    </r>
    <r>
      <rPr>
        <sz val="9"/>
        <rFont val="WenQuanYi Zen Hei"/>
        <family val="2"/>
      </rPr>
      <t xml:space="preserve">경부하 필수</t>
    </r>
    <r>
      <rPr>
        <sz val="9"/>
        <rFont val="Malgun Gothic"/>
        <family val="0"/>
        <charset val="1"/>
      </rPr>
      <t xml:space="preserve">). </t>
    </r>
    <r>
      <rPr>
        <sz val="9"/>
        <rFont val="WenQuanYi Zen Hei"/>
        <family val="2"/>
      </rPr>
      <t xml:space="preserve">저왜율 기준전원 사용</t>
    </r>
  </si>
  <si>
    <r>
      <rPr>
        <sz val="9"/>
        <rFont val="WenQuanYi Zen Hei"/>
        <family val="2"/>
      </rPr>
      <t xml:space="preserve">전력분석기</t>
    </r>
    <r>
      <rPr>
        <sz val="9"/>
        <rFont val="Malgun Gothic"/>
        <family val="0"/>
        <charset val="1"/>
      </rPr>
      <t xml:space="preserve">(</t>
    </r>
    <r>
      <rPr>
        <sz val="9"/>
        <rFont val="WenQuanYi Zen Hei"/>
        <family val="2"/>
      </rPr>
      <t xml:space="preserve">고조파</t>
    </r>
    <r>
      <rPr>
        <sz val="9"/>
        <rFont val="Malgun Gothic"/>
        <family val="0"/>
        <charset val="1"/>
      </rPr>
      <t xml:space="preserve">), </t>
    </r>
    <r>
      <rPr>
        <sz val="9"/>
        <rFont val="WenQuanYi Zen Hei"/>
        <family val="2"/>
      </rPr>
      <t xml:space="preserve">저왜율 </t>
    </r>
    <r>
      <rPr>
        <sz val="9"/>
        <rFont val="Malgun Gothic"/>
        <family val="0"/>
        <charset val="1"/>
      </rPr>
      <t xml:space="preserve">AC</t>
    </r>
    <r>
      <rPr>
        <sz val="9"/>
        <rFont val="WenQuanYi Zen Hei"/>
        <family val="2"/>
      </rPr>
      <t xml:space="preserve">소스</t>
    </r>
  </si>
  <si>
    <t xml:space="preserve">누설전류 시험</t>
  </si>
  <si>
    <r>
      <rPr>
        <sz val="9"/>
        <rFont val="WenQuanYi Zen Hei"/>
        <family val="2"/>
      </rPr>
      <t xml:space="preserve">접촉전류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보호도체전류</t>
    </r>
  </si>
  <si>
    <t xml:space="preserve">mA</t>
  </si>
  <si>
    <r>
      <rPr>
        <sz val="9"/>
        <rFont val="WenQuanYi Zen Hei"/>
        <family val="2"/>
      </rPr>
      <t xml:space="preserve">정격운전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최악조건</t>
    </r>
    <r>
      <rPr>
        <sz val="9"/>
        <rFont val="Malgun Gothic"/>
        <family val="0"/>
        <charset val="1"/>
      </rPr>
      <t xml:space="preserve">(</t>
    </r>
    <r>
      <rPr>
        <sz val="9"/>
        <rFont val="WenQuanYi Zen Hei"/>
        <family val="2"/>
      </rPr>
      <t xml:space="preserve">전압상한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극성반전</t>
    </r>
    <r>
      <rPr>
        <sz val="9"/>
        <rFont val="Malgun Gothic"/>
        <family val="0"/>
        <charset val="1"/>
      </rPr>
      <t xml:space="preserve">)</t>
    </r>
  </si>
  <si>
    <r>
      <rPr>
        <sz val="9"/>
        <rFont val="Malgun Gothic"/>
        <family val="0"/>
        <charset val="1"/>
      </rPr>
      <t xml:space="preserve">IEC 60990 </t>
    </r>
    <r>
      <rPr>
        <sz val="9"/>
        <rFont val="WenQuanYi Zen Hei"/>
        <family val="2"/>
      </rPr>
      <t xml:space="preserve">측정망</t>
    </r>
  </si>
  <si>
    <t xml:space="preserve">온도 상승 시험</t>
  </si>
  <si>
    <t xml:space="preserve">부위별 온도상승</t>
  </si>
  <si>
    <t xml:space="preserve">K (°C)</t>
  </si>
  <si>
    <r>
      <rPr>
        <sz val="9"/>
        <rFont val="WenQuanYi Zen Hei"/>
        <family val="2"/>
      </rPr>
      <t xml:space="preserve">정격출력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열평형 도달 후</t>
    </r>
    <r>
      <rPr>
        <sz val="9"/>
        <rFont val="Malgun Gothic"/>
        <family val="0"/>
        <charset val="1"/>
      </rPr>
      <t xml:space="preserve">. </t>
    </r>
    <r>
      <rPr>
        <sz val="9"/>
        <rFont val="WenQuanYi Zen Hei"/>
        <family val="2"/>
      </rPr>
      <t xml:space="preserve">모듈후면 주위온도 기준</t>
    </r>
  </si>
  <si>
    <r>
      <rPr>
        <sz val="9"/>
        <rFont val="WenQuanYi Zen Hei"/>
        <family val="2"/>
      </rPr>
      <t xml:space="preserve">열전대</t>
    </r>
    <r>
      <rPr>
        <sz val="9"/>
        <rFont val="Malgun Gothic"/>
        <family val="0"/>
        <charset val="1"/>
      </rPr>
      <t xml:space="preserve">+</t>
    </r>
    <r>
      <rPr>
        <sz val="9"/>
        <rFont val="WenQuanYi Zen Hei"/>
        <family val="2"/>
      </rPr>
      <t xml:space="preserve">데이터로거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항온조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저항법</t>
    </r>
  </si>
  <si>
    <t xml:space="preserve">효율 시험</t>
  </si>
  <si>
    <r>
      <rPr>
        <sz val="9"/>
        <rFont val="WenQuanYi Zen Hei"/>
        <family val="2"/>
      </rPr>
      <t xml:space="preserve">변환효율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가중효율</t>
    </r>
  </si>
  <si>
    <r>
      <rPr>
        <sz val="9"/>
        <rFont val="Malgun Gothic"/>
        <family val="0"/>
        <charset val="1"/>
      </rPr>
      <t xml:space="preserve">IEC 61683/EN 50530. </t>
    </r>
    <r>
      <rPr>
        <sz val="9"/>
        <rFont val="WenQuanYi Zen Hei"/>
        <family val="2"/>
      </rPr>
      <t xml:space="preserve">입력전압</t>
    </r>
    <r>
      <rPr>
        <sz val="9"/>
        <rFont val="Malgun Gothic"/>
        <family val="0"/>
        <charset val="1"/>
      </rPr>
      <t xml:space="preserve">×</t>
    </r>
    <r>
      <rPr>
        <sz val="9"/>
        <rFont val="WenQuanYi Zen Hei"/>
        <family val="2"/>
      </rPr>
      <t xml:space="preserve">출력레벨 매트릭스 → </t>
    </r>
    <r>
      <rPr>
        <sz val="9"/>
        <rFont val="Malgun Gothic"/>
        <family val="0"/>
        <charset val="1"/>
      </rPr>
      <t xml:space="preserve">'</t>
    </r>
    <r>
      <rPr>
        <sz val="9"/>
        <rFont val="WenQuanYi Zen Hei"/>
        <family val="2"/>
      </rPr>
      <t xml:space="preserve">효율측정</t>
    </r>
    <r>
      <rPr>
        <sz val="9"/>
        <rFont val="Malgun Gothic"/>
        <family val="0"/>
        <charset val="1"/>
      </rPr>
      <t xml:space="preserve">' </t>
    </r>
    <r>
      <rPr>
        <sz val="9"/>
        <rFont val="WenQuanYi Zen Hei"/>
        <family val="2"/>
      </rPr>
      <t xml:space="preserve">시트</t>
    </r>
  </si>
  <si>
    <r>
      <rPr>
        <sz val="9"/>
        <rFont val="WenQuanYi Zen Hei"/>
        <family val="2"/>
      </rPr>
      <t xml:space="preserve">고정밀 전력분석기</t>
    </r>
    <r>
      <rPr>
        <sz val="9"/>
        <rFont val="Malgun Gothic"/>
        <family val="0"/>
        <charset val="1"/>
      </rPr>
      <t xml:space="preserve">(0.05%</t>
    </r>
    <r>
      <rPr>
        <sz val="9"/>
        <rFont val="WenQuanYi Zen Hei"/>
        <family val="2"/>
      </rPr>
      <t xml:space="preserve">급</t>
    </r>
    <r>
      <rPr>
        <sz val="9"/>
        <rFont val="Malgun Gothic"/>
        <family val="0"/>
        <charset val="1"/>
      </rPr>
      <t xml:space="preserve">), PV</t>
    </r>
    <r>
      <rPr>
        <sz val="9"/>
        <rFont val="WenQuanYi Zen Hei"/>
        <family val="2"/>
      </rPr>
      <t xml:space="preserve">시뮬레이터</t>
    </r>
  </si>
  <si>
    <t xml:space="preserve">대기 손실 시험</t>
  </si>
  <si>
    <r>
      <rPr>
        <sz val="9"/>
        <rFont val="WenQuanYi Zen Hei"/>
        <family val="2"/>
      </rPr>
      <t xml:space="preserve">대기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야간 소비전력</t>
    </r>
  </si>
  <si>
    <t xml:space="preserve">W</t>
  </si>
  <si>
    <r>
      <rPr>
        <sz val="9"/>
        <rFont val="Malgun Gothic"/>
        <family val="0"/>
        <charset val="1"/>
      </rPr>
      <t xml:space="preserve">PV</t>
    </r>
    <r>
      <rPr>
        <sz val="9"/>
        <rFont val="WenQuanYi Zen Hei"/>
        <family val="2"/>
      </rPr>
      <t xml:space="preserve">입력 차단</t>
    </r>
    <r>
      <rPr>
        <sz val="9"/>
        <rFont val="Malgun Gothic"/>
        <family val="0"/>
        <charset val="1"/>
      </rPr>
      <t xml:space="preserve">, AC</t>
    </r>
    <r>
      <rPr>
        <sz val="9"/>
        <rFont val="WenQuanYi Zen Hei"/>
        <family val="2"/>
      </rPr>
      <t xml:space="preserve">만 인가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안정화 후</t>
    </r>
    <r>
      <rPr>
        <sz val="9"/>
        <rFont val="Malgun Gothic"/>
        <family val="0"/>
        <charset val="1"/>
      </rPr>
      <t xml:space="preserve">. </t>
    </r>
    <r>
      <rPr>
        <sz val="9"/>
        <rFont val="WenQuanYi Zen Hei"/>
        <family val="2"/>
      </rPr>
      <t xml:space="preserve">통신모듈 상태 명시</t>
    </r>
  </si>
  <si>
    <r>
      <rPr>
        <sz val="9"/>
        <rFont val="WenQuanYi Zen Hei"/>
        <family val="2"/>
      </rPr>
      <t xml:space="preserve">저전력 측정 전력계</t>
    </r>
    <r>
      <rPr>
        <sz val="9"/>
        <rFont val="Malgun Gothic"/>
        <family val="0"/>
        <charset val="1"/>
      </rPr>
      <t xml:space="preserve">(mW </t>
    </r>
    <r>
      <rPr>
        <sz val="9"/>
        <rFont val="WenQuanYi Zen Hei"/>
        <family val="2"/>
      </rPr>
      <t xml:space="preserve">분해능</t>
    </r>
    <r>
      <rPr>
        <sz val="9"/>
        <rFont val="Malgun Gothic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</si>
  <si>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자동 기동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정지 시험</t>
    </r>
  </si>
  <si>
    <r>
      <rPr>
        <sz val="9"/>
        <rFont val="WenQuanYi Zen Hei"/>
        <family val="2"/>
      </rPr>
      <t xml:space="preserve">기동</t>
    </r>
    <r>
      <rPr>
        <sz val="9"/>
        <rFont val="Malgun Gothic"/>
        <family val="0"/>
        <charset val="1"/>
      </rPr>
      <t xml:space="preserve">/</t>
    </r>
    <r>
      <rPr>
        <sz val="9"/>
        <rFont val="WenQuanYi Zen Hei"/>
        <family val="2"/>
      </rPr>
      <t xml:space="preserve">정지 임계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기동 소요시간</t>
    </r>
  </si>
  <si>
    <t xml:space="preserve">W / V / s</t>
  </si>
  <si>
    <r>
      <rPr>
        <sz val="9"/>
        <rFont val="Malgun Gothic"/>
        <family val="0"/>
        <charset val="1"/>
      </rPr>
      <t xml:space="preserve">PV</t>
    </r>
    <r>
      <rPr>
        <sz val="9"/>
        <rFont val="WenQuanYi Zen Hei"/>
        <family val="2"/>
      </rPr>
      <t xml:space="preserve">시뮬레이터 입력 증감</t>
    </r>
    <r>
      <rPr>
        <sz val="9"/>
        <rFont val="Malgun Gothic"/>
        <family val="0"/>
        <charset val="1"/>
      </rPr>
      <t xml:space="preserve">. </t>
    </r>
    <r>
      <rPr>
        <sz val="9"/>
        <rFont val="WenQuanYi Zen Hei"/>
        <family val="2"/>
      </rPr>
      <t xml:space="preserve">히스테리시스 확인</t>
    </r>
  </si>
  <si>
    <r>
      <rPr>
        <sz val="9"/>
        <rFont val="Malgun Gothic"/>
        <family val="0"/>
        <charset val="1"/>
      </rPr>
      <t xml:space="preserve">PV</t>
    </r>
    <r>
      <rPr>
        <sz val="9"/>
        <rFont val="WenQuanYi Zen Hei"/>
        <family val="2"/>
      </rPr>
      <t xml:space="preserve">시뮬레이터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데이터로거</t>
    </r>
  </si>
  <si>
    <t xml:space="preserve">최대 전력 추종 시험</t>
  </si>
  <si>
    <r>
      <rPr>
        <sz val="9"/>
        <rFont val="WenQuanYi Zen Hei"/>
        <family val="2"/>
      </rPr>
      <t xml:space="preserve">정적 </t>
    </r>
    <r>
      <rPr>
        <sz val="9"/>
        <rFont val="Malgun Gothic"/>
        <family val="0"/>
        <charset val="1"/>
      </rPr>
      <t xml:space="preserve">MPPT</t>
    </r>
    <r>
      <rPr>
        <sz val="9"/>
        <rFont val="WenQuanYi Zen Hei"/>
        <family val="2"/>
      </rPr>
      <t xml:space="preserve">효율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동적 </t>
    </r>
    <r>
      <rPr>
        <sz val="9"/>
        <rFont val="Malgun Gothic"/>
        <family val="0"/>
        <charset val="1"/>
      </rPr>
      <t xml:space="preserve">MPPT</t>
    </r>
    <r>
      <rPr>
        <sz val="9"/>
        <rFont val="WenQuanYi Zen Hei"/>
        <family val="2"/>
      </rPr>
      <t xml:space="preserve">효율</t>
    </r>
  </si>
  <si>
    <r>
      <rPr>
        <sz val="9"/>
        <rFont val="Malgun Gothic"/>
        <family val="0"/>
        <charset val="1"/>
      </rPr>
      <t xml:space="preserve">IEC 62891/EN 50530. </t>
    </r>
    <r>
      <rPr>
        <sz val="9"/>
        <rFont val="WenQuanYi Zen Hei"/>
        <family val="2"/>
      </rPr>
      <t xml:space="preserve">동적 램프 프로파일 지원 장비 필수</t>
    </r>
  </si>
  <si>
    <r>
      <rPr>
        <sz val="9"/>
        <rFont val="Malgun Gothic"/>
        <family val="0"/>
        <charset val="1"/>
      </rPr>
      <t xml:space="preserve">PV</t>
    </r>
    <r>
      <rPr>
        <sz val="9"/>
        <rFont val="WenQuanYi Zen Hei"/>
        <family val="2"/>
      </rPr>
      <t xml:space="preserve">시뮬레이터</t>
    </r>
    <r>
      <rPr>
        <sz val="9"/>
        <rFont val="Malgun Gothic"/>
        <family val="0"/>
        <charset val="1"/>
      </rPr>
      <t xml:space="preserve">(</t>
    </r>
    <r>
      <rPr>
        <sz val="9"/>
        <rFont val="WenQuanYi Zen Hei"/>
        <family val="2"/>
      </rPr>
      <t xml:space="preserve">동적</t>
    </r>
    <r>
      <rPr>
        <sz val="9"/>
        <rFont val="Malgun Gothic"/>
        <family val="0"/>
        <charset val="1"/>
      </rPr>
      <t xml:space="preserve">), </t>
    </r>
    <r>
      <rPr>
        <sz val="9"/>
        <rFont val="WenQuanYi Zen Hei"/>
        <family val="2"/>
      </rPr>
      <t xml:space="preserve">전력분석기</t>
    </r>
  </si>
  <si>
    <t xml:space="preserve">출력전류 직류분 검출 시험</t>
  </si>
  <si>
    <r>
      <rPr>
        <sz val="9"/>
        <rFont val="WenQuanYi Zen Hei"/>
        <family val="2"/>
      </rPr>
      <t xml:space="preserve">출력전류 </t>
    </r>
    <r>
      <rPr>
        <sz val="9"/>
        <rFont val="Malgun Gothic"/>
        <family val="0"/>
        <charset val="1"/>
      </rPr>
      <t xml:space="preserve">DC </t>
    </r>
    <r>
      <rPr>
        <sz val="9"/>
        <rFont val="WenQuanYi Zen Hei"/>
        <family val="2"/>
      </rPr>
      <t xml:space="preserve">성분</t>
    </r>
  </si>
  <si>
    <r>
      <rPr>
        <sz val="9"/>
        <rFont val="Malgun Gothic"/>
        <family val="0"/>
        <charset val="1"/>
      </rPr>
      <t xml:space="preserve">mA (</t>
    </r>
    <r>
      <rPr>
        <sz val="9"/>
        <rFont val="WenQuanYi Zen Hei"/>
        <family val="2"/>
      </rPr>
      <t xml:space="preserve">정격 대비 </t>
    </r>
    <r>
      <rPr>
        <sz val="9"/>
        <rFont val="Malgun Gothic"/>
        <family val="0"/>
        <charset val="1"/>
      </rPr>
      <t xml:space="preserve">%)</t>
    </r>
  </si>
  <si>
    <r>
      <rPr>
        <sz val="9"/>
        <rFont val="WenQuanYi Zen Hei"/>
        <family val="2"/>
      </rPr>
      <t xml:space="preserve">정격 교류출력전류의 </t>
    </r>
    <r>
      <rPr>
        <sz val="9"/>
        <rFont val="Malgun Gothic"/>
        <family val="0"/>
        <charset val="1"/>
      </rPr>
      <t xml:space="preserve">0.5% </t>
    </r>
    <r>
      <rPr>
        <sz val="9"/>
        <rFont val="WenQuanYi Zen Hei"/>
        <family val="2"/>
      </rPr>
      <t xml:space="preserve">이하</t>
    </r>
  </si>
  <si>
    <r>
      <rPr>
        <sz val="9"/>
        <rFont val="WenQuanYi Zen Hei"/>
        <family val="2"/>
      </rPr>
      <t xml:space="preserve">출력레벨별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온도조건별</t>
    </r>
    <r>
      <rPr>
        <sz val="9"/>
        <rFont val="Malgun Gothic"/>
        <family val="0"/>
        <charset val="1"/>
      </rPr>
      <t xml:space="preserve">. </t>
    </r>
    <r>
      <rPr>
        <sz val="9"/>
        <rFont val="WenQuanYi Zen Hei"/>
        <family val="2"/>
      </rPr>
      <t xml:space="preserve">측정 전 오프셋 교정 필수</t>
    </r>
  </si>
  <si>
    <r>
      <rPr>
        <sz val="9"/>
        <rFont val="Malgun Gothic"/>
        <family val="0"/>
        <charset val="1"/>
      </rPr>
      <t xml:space="preserve">DC</t>
    </r>
    <r>
      <rPr>
        <sz val="9"/>
        <rFont val="WenQuanYi Zen Hei"/>
        <family val="2"/>
      </rPr>
      <t xml:space="preserve">응답 전류프로브</t>
    </r>
    <r>
      <rPr>
        <sz val="9"/>
        <rFont val="Malgun Gothic"/>
        <family val="0"/>
        <charset val="1"/>
      </rPr>
      <t xml:space="preserve">/</t>
    </r>
    <r>
      <rPr>
        <sz val="9"/>
        <rFont val="WenQuanYi Zen Hei"/>
        <family val="2"/>
      </rPr>
      <t xml:space="preserve">분류기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전력분석기</t>
    </r>
  </si>
  <si>
    <t xml:space="preserve">입력전력 급변 시험</t>
  </si>
  <si>
    <r>
      <rPr>
        <sz val="9"/>
        <rFont val="WenQuanYi Zen Hei"/>
        <family val="2"/>
      </rPr>
      <t xml:space="preserve">오버슈트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정정시간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오동작 유무</t>
    </r>
  </si>
  <si>
    <r>
      <rPr>
        <sz val="9"/>
        <rFont val="Malgun Gothic"/>
        <family val="0"/>
        <charset val="1"/>
      </rPr>
      <t xml:space="preserve">% / s / </t>
    </r>
    <r>
      <rPr>
        <sz val="9"/>
        <rFont val="WenQuanYi Zen Hei"/>
        <family val="2"/>
      </rPr>
      <t xml:space="preserve">양부</t>
    </r>
  </si>
  <si>
    <r>
      <rPr>
        <sz val="9"/>
        <rFont val="Malgun Gothic"/>
        <family val="0"/>
        <charset val="1"/>
      </rPr>
      <t xml:space="preserve">PV</t>
    </r>
    <r>
      <rPr>
        <sz val="9"/>
        <rFont val="WenQuanYi Zen Hei"/>
        <family val="2"/>
      </rPr>
      <t xml:space="preserve">시뮬레이터 입력 스텝</t>
    </r>
    <r>
      <rPr>
        <sz val="9"/>
        <rFont val="Malgun Gothic"/>
        <family val="0"/>
        <charset val="1"/>
      </rPr>
      <t xml:space="preserve">(</t>
    </r>
    <r>
      <rPr>
        <sz val="9"/>
        <rFont val="WenQuanYi Zen Hei"/>
        <family val="2"/>
      </rPr>
      <t xml:space="preserve">증감 양방향</t>
    </r>
    <r>
      <rPr>
        <sz val="9"/>
        <rFont val="Malgun Gothic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</si>
  <si>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오실로스코프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전력분석기</t>
    </r>
  </si>
  <si>
    <t xml:space="preserve">계통전압 급변 시험</t>
  </si>
  <si>
    <r>
      <rPr>
        <sz val="9"/>
        <rFont val="WenQuanYi Zen Hei"/>
        <family val="2"/>
      </rPr>
      <t xml:space="preserve">과도전류 피크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정정시간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오동작</t>
    </r>
  </si>
  <si>
    <r>
      <rPr>
        <sz val="9"/>
        <rFont val="Malgun Gothic"/>
        <family val="0"/>
        <charset val="1"/>
      </rPr>
      <t xml:space="preserve">A / s / </t>
    </r>
    <r>
      <rPr>
        <sz val="9"/>
        <rFont val="WenQuanYi Zen Hei"/>
        <family val="2"/>
      </rPr>
      <t xml:space="preserve">양부</t>
    </r>
  </si>
  <si>
    <t xml:space="preserve">계통시뮬레이터 전압 스텝</t>
  </si>
  <si>
    <t xml:space="preserve">오실로스코프</t>
  </si>
  <si>
    <t xml:space="preserve">계통전압 위상 급변 시험</t>
  </si>
  <si>
    <r>
      <rPr>
        <sz val="9"/>
        <rFont val="WenQuanYi Zen Hei"/>
        <family val="2"/>
      </rPr>
      <t xml:space="preserve">재동기 시간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과도전류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오동작</t>
    </r>
  </si>
  <si>
    <r>
      <rPr>
        <sz val="9"/>
        <rFont val="Malgun Gothic"/>
        <family val="0"/>
        <charset val="1"/>
      </rPr>
      <t xml:space="preserve">s / A / </t>
    </r>
    <r>
      <rPr>
        <sz val="9"/>
        <rFont val="WenQuanYi Zen Hei"/>
        <family val="2"/>
      </rPr>
      <t xml:space="preserve">양부</t>
    </r>
  </si>
  <si>
    <r>
      <rPr>
        <sz val="9"/>
        <rFont val="WenQuanYi Zen Hei"/>
        <family val="2"/>
      </rPr>
      <t xml:space="preserve">위상 스텝</t>
    </r>
    <r>
      <rPr>
        <sz val="9"/>
        <rFont val="Malgun Gothic"/>
        <family val="0"/>
        <charset val="1"/>
      </rPr>
      <t xml:space="preserve">(±, </t>
    </r>
    <r>
      <rPr>
        <sz val="9"/>
        <rFont val="WenQuanYi Zen Hei"/>
        <family val="2"/>
      </rPr>
      <t xml:space="preserve">크기별</t>
    </r>
    <r>
      <rPr>
        <sz val="9"/>
        <rFont val="Malgun Gothic"/>
        <family val="0"/>
        <charset val="1"/>
      </rPr>
      <t xml:space="preserve">). 8</t>
    </r>
    <r>
      <rPr>
        <sz val="9"/>
        <rFont val="WenQuanYi Zen Hei"/>
        <family val="2"/>
      </rPr>
      <t xml:space="preserve">번과 한 쌍으로 기록</t>
    </r>
  </si>
  <si>
    <r>
      <rPr>
        <sz val="9"/>
        <rFont val="WenQuanYi Zen Hei"/>
        <family val="2"/>
      </rPr>
      <t xml:space="preserve">위상스텝 지원 </t>
    </r>
    <r>
      <rPr>
        <sz val="9"/>
        <rFont val="Malgun Gothic"/>
        <family val="0"/>
        <charset val="1"/>
      </rPr>
      <t xml:space="preserve">AC</t>
    </r>
    <r>
      <rPr>
        <sz val="9"/>
        <rFont val="WenQuanYi Zen Hei"/>
        <family val="2"/>
      </rPr>
      <t xml:space="preserve">소스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오실로스코프</t>
    </r>
  </si>
  <si>
    <t xml:space="preserve">출력측 단락 시험</t>
  </si>
  <si>
    <r>
      <rPr>
        <sz val="9"/>
        <rFont val="WenQuanYi Zen Hei"/>
        <family val="2"/>
      </rPr>
      <t xml:space="preserve">단락전류 피크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보호동작시간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손상유무</t>
    </r>
  </si>
  <si>
    <r>
      <rPr>
        <sz val="9"/>
        <rFont val="Malgun Gothic"/>
        <family val="0"/>
        <charset val="1"/>
      </rPr>
      <t xml:space="preserve">A / ms / </t>
    </r>
    <r>
      <rPr>
        <sz val="9"/>
        <rFont val="WenQuanYi Zen Hei"/>
        <family val="2"/>
      </rPr>
      <t xml:space="preserve">양부</t>
    </r>
  </si>
  <si>
    <t xml:space="preserve">정격운전 중 출력단 저임피던스 단락</t>
  </si>
  <si>
    <r>
      <rPr>
        <sz val="9"/>
        <rFont val="WenQuanYi Zen Hei"/>
        <family val="2"/>
      </rPr>
      <t xml:space="preserve">고속 전류프로브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오실로스코프</t>
    </r>
  </si>
  <si>
    <r>
      <rPr>
        <sz val="9"/>
        <rFont val="WenQuanYi Zen Hei"/>
        <family val="2"/>
      </rPr>
      <t xml:space="preserve">계통전압 순간정전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강하 시험</t>
    </r>
  </si>
  <si>
    <r>
      <rPr>
        <sz val="9"/>
        <rFont val="WenQuanYi Zen Hei"/>
        <family val="2"/>
      </rPr>
      <t xml:space="preserve">운전유지 또는 복귀 여부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복귀시간</t>
    </r>
  </si>
  <si>
    <r>
      <rPr>
        <sz val="9"/>
        <rFont val="WenQuanYi Zen Hei"/>
        <family val="2"/>
      </rPr>
      <t xml:space="preserve">양부 </t>
    </r>
    <r>
      <rPr>
        <sz val="9"/>
        <rFont val="Malgun Gothic"/>
        <family val="0"/>
        <charset val="1"/>
      </rPr>
      <t xml:space="preserve">/ s</t>
    </r>
  </si>
  <si>
    <r>
      <rPr>
        <sz val="9"/>
        <rFont val="WenQuanYi Zen Hei"/>
        <family val="2"/>
      </rPr>
      <t xml:space="preserve">강하깊이</t>
    </r>
    <r>
      <rPr>
        <sz val="9"/>
        <rFont val="Malgun Gothic"/>
        <family val="0"/>
        <charset val="1"/>
      </rPr>
      <t xml:space="preserve">(%)×</t>
    </r>
    <r>
      <rPr>
        <sz val="9"/>
        <rFont val="WenQuanYi Zen Hei"/>
        <family val="2"/>
      </rPr>
      <t xml:space="preserve">지속시간</t>
    </r>
    <r>
      <rPr>
        <sz val="9"/>
        <rFont val="Malgun Gothic"/>
        <family val="0"/>
        <charset val="1"/>
      </rPr>
      <t xml:space="preserve">(ms) </t>
    </r>
    <r>
      <rPr>
        <sz val="9"/>
        <rFont val="WenQuanYi Zen Hei"/>
        <family val="2"/>
      </rPr>
      <t xml:space="preserve">조합별</t>
    </r>
    <r>
      <rPr>
        <sz val="9"/>
        <rFont val="Malgun Gothic"/>
        <family val="0"/>
        <charset val="1"/>
      </rPr>
      <t xml:space="preserve">. </t>
    </r>
    <r>
      <rPr>
        <sz val="9"/>
        <rFont val="WenQuanYi Zen Hei"/>
        <family val="2"/>
      </rPr>
      <t xml:space="preserve">판정기준 확인 필요</t>
    </r>
  </si>
  <si>
    <r>
      <rPr>
        <sz val="9"/>
        <rFont val="Malgun Gothic"/>
        <family val="0"/>
        <charset val="1"/>
      </rPr>
      <t xml:space="preserve">sag </t>
    </r>
    <r>
      <rPr>
        <sz val="9"/>
        <rFont val="WenQuanYi Zen Hei"/>
        <family val="2"/>
      </rPr>
      <t xml:space="preserve">생성 계통시뮬레이터</t>
    </r>
  </si>
  <si>
    <t xml:space="preserve">부하차단 시험</t>
  </si>
  <si>
    <r>
      <rPr>
        <sz val="9"/>
        <rFont val="WenQuanYi Zen Hei"/>
        <family val="2"/>
      </rPr>
      <t xml:space="preserve">출력 과전압 피크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지속시간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손상</t>
    </r>
  </si>
  <si>
    <r>
      <rPr>
        <sz val="9"/>
        <rFont val="Malgun Gothic"/>
        <family val="0"/>
        <charset val="1"/>
      </rPr>
      <t xml:space="preserve">V / ms / </t>
    </r>
    <r>
      <rPr>
        <sz val="9"/>
        <rFont val="WenQuanYi Zen Hei"/>
        <family val="2"/>
      </rPr>
      <t xml:space="preserve">양부</t>
    </r>
  </si>
  <si>
    <t xml:space="preserve">정격운전 중 부하 급차단</t>
  </si>
  <si>
    <t xml:space="preserve">계통전압 왜형률 내량 시험</t>
  </si>
  <si>
    <r>
      <rPr>
        <sz val="9"/>
        <rFont val="WenQuanYi Zen Hei"/>
        <family val="2"/>
      </rPr>
      <t xml:space="preserve">운전유지 여부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출력전류 </t>
    </r>
    <r>
      <rPr>
        <sz val="9"/>
        <rFont val="Malgun Gothic"/>
        <family val="0"/>
        <charset val="1"/>
      </rPr>
      <t xml:space="preserve">THD </t>
    </r>
    <r>
      <rPr>
        <sz val="9"/>
        <rFont val="WenQuanYi Zen Hei"/>
        <family val="2"/>
      </rPr>
      <t xml:space="preserve">변화</t>
    </r>
  </si>
  <si>
    <r>
      <rPr>
        <sz val="9"/>
        <rFont val="WenQuanYi Zen Hei"/>
        <family val="2"/>
      </rPr>
      <t xml:space="preserve">양부 </t>
    </r>
    <r>
      <rPr>
        <sz val="9"/>
        <rFont val="Malgun Gothic"/>
        <family val="0"/>
        <charset val="1"/>
      </rPr>
      <t xml:space="preserve">/ %</t>
    </r>
  </si>
  <si>
    <r>
      <rPr>
        <sz val="9"/>
        <rFont val="WenQuanYi Zen Hei"/>
        <family val="2"/>
      </rPr>
      <t xml:space="preserve">계통전압에 규정 </t>
    </r>
    <r>
      <rPr>
        <sz val="9"/>
        <rFont val="Malgun Gothic"/>
        <family val="0"/>
        <charset val="1"/>
      </rPr>
      <t xml:space="preserve">THD </t>
    </r>
    <r>
      <rPr>
        <sz val="9"/>
        <rFont val="WenQuanYi Zen Hei"/>
        <family val="2"/>
      </rPr>
      <t xml:space="preserve">중첩</t>
    </r>
    <r>
      <rPr>
        <sz val="9"/>
        <rFont val="Malgun Gothic"/>
        <family val="0"/>
        <charset val="1"/>
      </rPr>
      <t xml:space="preserve">(</t>
    </r>
    <r>
      <rPr>
        <sz val="9"/>
        <rFont val="WenQuanYi Zen Hei"/>
        <family val="2"/>
      </rPr>
      <t xml:space="preserve">차수별 주입</t>
    </r>
    <r>
      <rPr>
        <sz val="9"/>
        <rFont val="Malgun Gothic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</si>
  <si>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고조파 주입 </t>
    </r>
    <r>
      <rPr>
        <sz val="9"/>
        <rFont val="Malgun Gothic"/>
        <family val="0"/>
        <charset val="1"/>
      </rPr>
      <t xml:space="preserve">AC</t>
    </r>
    <r>
      <rPr>
        <sz val="9"/>
        <rFont val="WenQuanYi Zen Hei"/>
        <family val="2"/>
      </rPr>
      <t xml:space="preserve">소스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전력분석기</t>
    </r>
  </si>
  <si>
    <t xml:space="preserve">계통전압 불평형 시험</t>
  </si>
  <si>
    <r>
      <rPr>
        <sz val="9"/>
        <rFont val="WenQuanYi Zen Hei"/>
        <family val="2"/>
      </rPr>
      <t xml:space="preserve">운전유지 여부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전류 불평형</t>
    </r>
  </si>
  <si>
    <r>
      <rPr>
        <sz val="9"/>
        <rFont val="Malgun Gothic"/>
        <family val="0"/>
        <charset val="1"/>
      </rPr>
      <t xml:space="preserve">3</t>
    </r>
    <r>
      <rPr>
        <sz val="9"/>
        <rFont val="WenQuanYi Zen Hei"/>
        <family val="2"/>
      </rPr>
      <t xml:space="preserve">상 소스 상별 전압 차등</t>
    </r>
    <r>
      <rPr>
        <sz val="9"/>
        <rFont val="Malgun Gothic"/>
        <family val="0"/>
        <charset val="1"/>
      </rPr>
      <t xml:space="preserve">. </t>
    </r>
    <r>
      <rPr>
        <sz val="9"/>
        <rFont val="WenQuanYi Zen Hei"/>
        <family val="2"/>
      </rPr>
      <t xml:space="preserve">단상 적용여부 확인 필요</t>
    </r>
  </si>
  <si>
    <r>
      <rPr>
        <sz val="9"/>
        <rFont val="Malgun Gothic"/>
        <family val="0"/>
        <charset val="1"/>
      </rPr>
      <t xml:space="preserve">3</t>
    </r>
    <r>
      <rPr>
        <sz val="9"/>
        <rFont val="WenQuanYi Zen Hei"/>
        <family val="2"/>
      </rPr>
      <t xml:space="preserve">상 프로그래머블 </t>
    </r>
    <r>
      <rPr>
        <sz val="9"/>
        <rFont val="Malgun Gothic"/>
        <family val="0"/>
        <charset val="1"/>
      </rPr>
      <t xml:space="preserve">AC</t>
    </r>
    <r>
      <rPr>
        <sz val="9"/>
        <rFont val="WenQuanYi Zen Hei"/>
        <family val="2"/>
      </rPr>
      <t xml:space="preserve">소스</t>
    </r>
  </si>
  <si>
    <t xml:space="preserve">부하 불평형 시험</t>
  </si>
  <si>
    <r>
      <rPr>
        <sz val="9"/>
        <rFont val="WenQuanYi Zen Hei"/>
        <family val="2"/>
      </rPr>
      <t xml:space="preserve">운전유지 여부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상별 전류배분</t>
    </r>
  </si>
  <si>
    <r>
      <rPr>
        <sz val="9"/>
        <rFont val="WenQuanYi Zen Hei"/>
        <family val="2"/>
      </rPr>
      <t xml:space="preserve">상별 부하 불평형</t>
    </r>
    <r>
      <rPr>
        <sz val="9"/>
        <rFont val="Malgun Gothic"/>
        <family val="0"/>
        <charset val="1"/>
      </rPr>
      <t xml:space="preserve">. </t>
    </r>
    <r>
      <rPr>
        <sz val="9"/>
        <rFont val="WenQuanYi Zen Hei"/>
        <family val="2"/>
      </rPr>
      <t xml:space="preserve">단상 적용여부 확인 필요</t>
    </r>
  </si>
  <si>
    <r>
      <rPr>
        <sz val="9"/>
        <rFont val="Malgun Gothic"/>
        <family val="0"/>
        <charset val="1"/>
      </rPr>
      <t xml:space="preserve">3</t>
    </r>
    <r>
      <rPr>
        <sz val="9"/>
        <rFont val="WenQuanYi Zen Hei"/>
        <family val="2"/>
      </rPr>
      <t xml:space="preserve">상 부하뱅크</t>
    </r>
  </si>
  <si>
    <t xml:space="preserve">습도 시험</t>
  </si>
  <si>
    <r>
      <rPr>
        <sz val="9"/>
        <rFont val="WenQuanYi Zen Hei"/>
        <family val="2"/>
      </rPr>
      <t xml:space="preserve">시험 전</t>
    </r>
    <r>
      <rPr>
        <sz val="9"/>
        <rFont val="Malgun Gothic"/>
        <family val="0"/>
        <charset val="1"/>
      </rPr>
      <t xml:space="preserve">/</t>
    </r>
    <r>
      <rPr>
        <sz val="9"/>
        <rFont val="WenQuanYi Zen Hei"/>
        <family val="2"/>
      </rPr>
      <t xml:space="preserve">후 절연저항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동작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외관</t>
    </r>
  </si>
  <si>
    <r>
      <rPr>
        <sz val="9"/>
        <rFont val="Malgun Gothic"/>
        <family val="0"/>
        <charset val="1"/>
      </rPr>
      <t xml:space="preserve">MΩ / </t>
    </r>
    <r>
      <rPr>
        <sz val="9"/>
        <rFont val="WenQuanYi Zen Hei"/>
        <family val="2"/>
      </rPr>
      <t xml:space="preserve">양부</t>
    </r>
  </si>
  <si>
    <r>
      <rPr>
        <sz val="9"/>
        <rFont val="Malgun Gothic"/>
        <family val="0"/>
        <charset val="1"/>
      </rPr>
      <t xml:space="preserve">IEC 60068-2-78(Cab). </t>
    </r>
    <r>
      <rPr>
        <sz val="9"/>
        <rFont val="WenQuanYi Zen Hei"/>
        <family val="2"/>
      </rPr>
      <t xml:space="preserve">시험 전 초기값 측정 필수</t>
    </r>
  </si>
  <si>
    <r>
      <rPr>
        <sz val="9"/>
        <rFont val="WenQuanYi Zen Hei"/>
        <family val="2"/>
      </rPr>
      <t xml:space="preserve">항온항습조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절연저항계</t>
    </r>
  </si>
  <si>
    <t xml:space="preserve">온습도 사이클 시험</t>
  </si>
  <si>
    <r>
      <rPr>
        <sz val="9"/>
        <rFont val="WenQuanYi Zen Hei"/>
        <family val="2"/>
      </rPr>
      <t xml:space="preserve">사이클 전</t>
    </r>
    <r>
      <rPr>
        <sz val="9"/>
        <rFont val="Malgun Gothic"/>
        <family val="0"/>
        <charset val="1"/>
      </rPr>
      <t xml:space="preserve">/</t>
    </r>
    <r>
      <rPr>
        <sz val="9"/>
        <rFont val="WenQuanYi Zen Hei"/>
        <family val="2"/>
      </rPr>
      <t xml:space="preserve">후 절연저항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내전압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동작</t>
    </r>
    <r>
      <rPr>
        <sz val="9"/>
        <rFont val="Malgun Gothic"/>
        <family val="0"/>
        <charset val="1"/>
      </rPr>
      <t xml:space="preserve">·</t>
    </r>
    <r>
      <rPr>
        <sz val="9"/>
        <rFont val="WenQuanYi Zen Hei"/>
        <family val="2"/>
      </rPr>
      <t xml:space="preserve">외관</t>
    </r>
  </si>
  <si>
    <r>
      <rPr>
        <sz val="9"/>
        <rFont val="Malgun Gothic"/>
        <family val="0"/>
        <charset val="1"/>
      </rPr>
      <t xml:space="preserve">IEC 60068-2-30(Db). </t>
    </r>
    <r>
      <rPr>
        <sz val="9"/>
        <rFont val="WenQuanYi Zen Hei"/>
        <family val="2"/>
      </rPr>
      <t xml:space="preserve">시험 전 초기값 측정 필수</t>
    </r>
  </si>
  <si>
    <r>
      <rPr>
        <sz val="9"/>
        <rFont val="WenQuanYi Zen Hei"/>
        <family val="2"/>
      </rPr>
      <t xml:space="preserve">항온항습조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절연저항계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내전압시험기</t>
    </r>
  </si>
  <si>
    <r>
      <rPr>
        <sz val="9"/>
        <rFont val="WenQuanYi Zen Hei"/>
        <family val="2"/>
      </rPr>
      <t xml:space="preserve">전자파 장해</t>
    </r>
    <r>
      <rPr>
        <sz val="9"/>
        <rFont val="Malgun Gothic"/>
        <family val="0"/>
        <charset val="1"/>
      </rPr>
      <t xml:space="preserve">(EMI)</t>
    </r>
  </si>
  <si>
    <r>
      <rPr>
        <sz val="9"/>
        <rFont val="WenQuanYi Zen Hei"/>
        <family val="2"/>
      </rPr>
      <t xml:space="preserve">전도방출 </t>
    </r>
    <r>
      <rPr>
        <sz val="9"/>
        <rFont val="Malgun Gothic"/>
        <family val="0"/>
        <charset val="1"/>
      </rPr>
      <t xml:space="preserve">/ </t>
    </r>
    <r>
      <rPr>
        <sz val="9"/>
        <rFont val="WenQuanYi Zen Hei"/>
        <family val="2"/>
      </rPr>
      <t xml:space="preserve">방사방출 </t>
    </r>
    <r>
      <rPr>
        <sz val="9"/>
        <rFont val="Malgun Gothic"/>
        <family val="0"/>
        <charset val="1"/>
      </rPr>
      <t xml:space="preserve">(</t>
    </r>
    <r>
      <rPr>
        <sz val="9"/>
        <rFont val="WenQuanYi Zen Hei"/>
        <family val="2"/>
      </rPr>
      <t xml:space="preserve">한계선 대비 마진</t>
    </r>
    <r>
      <rPr>
        <sz val="9"/>
        <rFont val="Malgun Gothic"/>
        <family val="0"/>
        <charset val="1"/>
      </rPr>
      <t xml:space="preserve">)</t>
    </r>
  </si>
  <si>
    <t xml:space="preserve">dBμV, dBμV/m (dB)</t>
  </si>
  <si>
    <r>
      <rPr>
        <sz val="9"/>
        <rFont val="Malgun Gothic"/>
        <family val="0"/>
        <charset val="1"/>
      </rPr>
      <t xml:space="preserve">CISPR 11 Group1 Class A/B </t>
    </r>
    <r>
      <rPr>
        <sz val="9"/>
        <rFont val="WenQuanYi Zen Hei"/>
        <family val="2"/>
      </rPr>
      <t xml:space="preserve">확정 필요</t>
    </r>
    <r>
      <rPr>
        <sz val="9"/>
        <rFont val="Malgun Gothic"/>
        <family val="0"/>
        <charset val="1"/>
      </rPr>
      <t xml:space="preserve">. QP/AV. AC·DC </t>
    </r>
    <r>
      <rPr>
        <sz val="9"/>
        <rFont val="WenQuanYi Zen Hei"/>
        <family val="2"/>
      </rPr>
      <t xml:space="preserve">포트</t>
    </r>
  </si>
  <si>
    <r>
      <rPr>
        <sz val="9"/>
        <rFont val="Malgun Gothic"/>
        <family val="0"/>
        <charset val="1"/>
      </rPr>
      <t xml:space="preserve">EMI</t>
    </r>
    <r>
      <rPr>
        <sz val="9"/>
        <rFont val="WenQuanYi Zen Hei"/>
        <family val="2"/>
      </rPr>
      <t xml:space="preserve">수신기</t>
    </r>
    <r>
      <rPr>
        <sz val="9"/>
        <rFont val="Malgun Gothic"/>
        <family val="0"/>
        <charset val="1"/>
      </rPr>
      <t xml:space="preserve">(CISPR 16-1-1), LISN, </t>
    </r>
    <r>
      <rPr>
        <sz val="9"/>
        <rFont val="WenQuanYi Zen Hei"/>
        <family val="2"/>
      </rPr>
      <t xml:space="preserve">안테나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무향실</t>
    </r>
  </si>
  <si>
    <r>
      <rPr>
        <sz val="9"/>
        <rFont val="WenQuanYi Zen Hei"/>
        <family val="2"/>
      </rPr>
      <t xml:space="preserve">전자파 내성</t>
    </r>
    <r>
      <rPr>
        <sz val="9"/>
        <rFont val="Malgun Gothic"/>
        <family val="0"/>
        <charset val="1"/>
      </rPr>
      <t xml:space="preserve">(EMS)</t>
    </r>
  </si>
  <si>
    <r>
      <rPr>
        <sz val="9"/>
        <rFont val="WenQuanYi Zen Hei"/>
        <family val="2"/>
      </rPr>
      <t xml:space="preserve">시험별 성능판정 </t>
    </r>
    <r>
      <rPr>
        <sz val="9"/>
        <rFont val="Malgun Gothic"/>
        <family val="0"/>
        <charset val="1"/>
      </rPr>
      <t xml:space="preserve">(A/B/C)</t>
    </r>
  </si>
  <si>
    <t xml:space="preserve">kV / V/m / V / A/m</t>
  </si>
  <si>
    <r>
      <rPr>
        <sz val="9"/>
        <rFont val="Malgun Gothic"/>
        <family val="0"/>
        <charset val="1"/>
      </rPr>
      <t xml:space="preserve">61000-4-2/-3/-4/-5/-6/-8/-11. </t>
    </r>
    <r>
      <rPr>
        <sz val="9"/>
        <rFont val="WenQuanYi Zen Hei"/>
        <family val="2"/>
      </rPr>
      <t xml:space="preserve">옥외설치라 서지</t>
    </r>
    <r>
      <rPr>
        <sz val="9"/>
        <rFont val="Malgun Gothic"/>
        <family val="0"/>
        <charset val="1"/>
      </rPr>
      <t xml:space="preserve">(4-5) </t>
    </r>
    <r>
      <rPr>
        <sz val="9"/>
        <rFont val="WenQuanYi Zen Hei"/>
        <family val="2"/>
      </rPr>
      <t xml:space="preserve">중요</t>
    </r>
  </si>
  <si>
    <r>
      <rPr>
        <sz val="9"/>
        <rFont val="Malgun Gothic"/>
        <family val="0"/>
        <charset val="1"/>
      </rPr>
      <t xml:space="preserve">ESD</t>
    </r>
    <r>
      <rPr>
        <sz val="9"/>
        <rFont val="WenQuanYi Zen Hei"/>
        <family val="2"/>
      </rPr>
      <t xml:space="preserve">건</t>
    </r>
    <r>
      <rPr>
        <sz val="9"/>
        <rFont val="Malgun Gothic"/>
        <family val="0"/>
        <charset val="1"/>
      </rPr>
      <t xml:space="preserve">, RS/CS </t>
    </r>
    <r>
      <rPr>
        <sz val="9"/>
        <rFont val="WenQuanYi Zen Hei"/>
        <family val="2"/>
      </rPr>
      <t xml:space="preserve">시스템</t>
    </r>
    <r>
      <rPr>
        <sz val="9"/>
        <rFont val="Malgun Gothic"/>
        <family val="0"/>
        <charset val="1"/>
      </rPr>
      <t xml:space="preserve">, EFT/</t>
    </r>
    <r>
      <rPr>
        <sz val="9"/>
        <rFont val="WenQuanYi Zen Hei"/>
        <family val="2"/>
      </rPr>
      <t xml:space="preserve">서지 발생기</t>
    </r>
  </si>
  <si>
    <r>
      <rPr>
        <b val="true"/>
        <sz val="14"/>
        <color rgb="FF1F3864"/>
        <rFont val="WenQuanYi Zen Hei"/>
        <family val="2"/>
      </rPr>
      <t xml:space="preserve">효율 시험 </t>
    </r>
    <r>
      <rPr>
        <b val="true"/>
        <sz val="14"/>
        <color rgb="FF1F3864"/>
        <rFont val="Malgun Gothic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검사항목 </t>
    </r>
    <r>
      <rPr>
        <b val="true"/>
        <sz val="14"/>
        <color rgb="FF1F3864"/>
        <rFont val="Malgun Gothic"/>
        <family val="0"/>
        <charset val="1"/>
      </rPr>
      <t xml:space="preserve">14) — </t>
    </r>
    <r>
      <rPr>
        <b val="true"/>
        <sz val="14"/>
        <color rgb="FF1F3864"/>
        <rFont val="WenQuanYi Zen Hei"/>
        <family val="2"/>
      </rPr>
      <t xml:space="preserve">출력레벨별 효율 및 가중효율</t>
    </r>
  </si>
  <si>
    <r>
      <rPr>
        <i val="true"/>
        <sz val="9"/>
        <rFont val="WenQuanYi Zen Hei"/>
        <family val="2"/>
      </rPr>
      <t xml:space="preserve">노란 칸에 측정 효율</t>
    </r>
    <r>
      <rPr>
        <i val="true"/>
        <sz val="9"/>
        <rFont val="Malgun Gothic"/>
        <family val="0"/>
        <charset val="1"/>
      </rPr>
      <t xml:space="preserve">(%)</t>
    </r>
    <r>
      <rPr>
        <i val="true"/>
        <sz val="9"/>
        <rFont val="WenQuanYi Zen Hei"/>
        <family val="2"/>
      </rPr>
      <t xml:space="preserve">을 입력하면 </t>
    </r>
    <r>
      <rPr>
        <i val="true"/>
        <sz val="9"/>
        <rFont val="Malgun Gothic"/>
        <family val="0"/>
        <charset val="1"/>
      </rPr>
      <t xml:space="preserve">EU·CEC </t>
    </r>
    <r>
      <rPr>
        <i val="true"/>
        <sz val="9"/>
        <rFont val="WenQuanYi Zen Hei"/>
        <family val="2"/>
      </rPr>
      <t xml:space="preserve">가중효율이 자동 계산됩니다</t>
    </r>
    <r>
      <rPr>
        <i val="true"/>
        <sz val="9"/>
        <rFont val="Malgun Gothic"/>
        <family val="0"/>
        <charset val="1"/>
      </rPr>
      <t xml:space="preserve">.</t>
    </r>
  </si>
  <si>
    <t xml:space="preserve">출력레벨</t>
  </si>
  <si>
    <r>
      <rPr>
        <b val="true"/>
        <sz val="10"/>
        <color rgb="FFFFFFFF"/>
        <rFont val="Malgun Gothic"/>
        <family val="0"/>
        <charset val="1"/>
      </rPr>
      <t xml:space="preserve">EU </t>
    </r>
    <r>
      <rPr>
        <b val="true"/>
        <sz val="10"/>
        <color rgb="FFFFFFFF"/>
        <rFont val="WenQuanYi Zen Hei"/>
        <family val="2"/>
      </rPr>
      <t xml:space="preserve">가중계수</t>
    </r>
  </si>
  <si>
    <r>
      <rPr>
        <b val="true"/>
        <sz val="10"/>
        <color rgb="FFFFFFFF"/>
        <rFont val="Malgun Gothic"/>
        <family val="0"/>
        <charset val="1"/>
      </rPr>
      <t xml:space="preserve">CEC </t>
    </r>
    <r>
      <rPr>
        <b val="true"/>
        <sz val="10"/>
        <color rgb="FFFFFFFF"/>
        <rFont val="WenQuanYi Zen Hei"/>
        <family val="2"/>
      </rPr>
      <t xml:space="preserve">가중계수</t>
    </r>
  </si>
  <si>
    <r>
      <rPr>
        <b val="true"/>
        <sz val="10"/>
        <color rgb="FFFFFFFF"/>
        <rFont val="WenQuanYi Zen Hei"/>
        <family val="2"/>
      </rPr>
      <t xml:space="preserve">측정효율 </t>
    </r>
    <r>
      <rPr>
        <b val="true"/>
        <sz val="10"/>
        <color rgb="FFFFFFFF"/>
        <rFont val="Malgun Gothic"/>
        <family val="0"/>
        <charset val="1"/>
      </rPr>
      <t xml:space="preserve">(%)</t>
    </r>
  </si>
  <si>
    <r>
      <rPr>
        <b val="true"/>
        <sz val="10"/>
        <color rgb="FFFFFFFF"/>
        <rFont val="Malgun Gothic"/>
        <family val="0"/>
        <charset val="1"/>
      </rPr>
      <t xml:space="preserve">EU </t>
    </r>
    <r>
      <rPr>
        <b val="true"/>
        <sz val="10"/>
        <color rgb="FFFFFFFF"/>
        <rFont val="WenQuanYi Zen Hei"/>
        <family val="2"/>
      </rPr>
      <t xml:space="preserve">기여</t>
    </r>
  </si>
  <si>
    <r>
      <rPr>
        <b val="true"/>
        <sz val="10"/>
        <color rgb="FFFFFFFF"/>
        <rFont val="Malgun Gothic"/>
        <family val="0"/>
        <charset val="1"/>
      </rPr>
      <t xml:space="preserve">CEC </t>
    </r>
    <r>
      <rPr>
        <b val="true"/>
        <sz val="10"/>
        <color rgb="FFFFFFFF"/>
        <rFont val="WenQuanYi Zen Hei"/>
        <family val="2"/>
      </rPr>
      <t xml:space="preserve">기여</t>
    </r>
  </si>
  <si>
    <t xml:space="preserve">계수 합</t>
  </si>
  <si>
    <r>
      <rPr>
        <b val="true"/>
        <sz val="11"/>
        <rFont val="WenQuanYi Zen Hei"/>
        <family val="2"/>
      </rPr>
      <t xml:space="preserve">가중효율 </t>
    </r>
    <r>
      <rPr>
        <b val="true"/>
        <sz val="11"/>
        <rFont val="Malgun Gothic"/>
        <family val="0"/>
        <charset val="1"/>
      </rPr>
      <t xml:space="preserve">(%)</t>
    </r>
  </si>
  <si>
    <r>
      <rPr>
        <i val="true"/>
        <sz val="9"/>
        <rFont val="Malgun Gothic"/>
        <family val="0"/>
        <charset val="1"/>
      </rPr>
      <t xml:space="preserve">← B</t>
    </r>
    <r>
      <rPr>
        <i val="true"/>
        <sz val="9"/>
        <rFont val="WenQuanYi Zen Hei"/>
        <family val="2"/>
      </rPr>
      <t xml:space="preserve">열</t>
    </r>
    <r>
      <rPr>
        <i val="true"/>
        <sz val="9"/>
        <rFont val="Malgun Gothic"/>
        <family val="0"/>
        <charset val="1"/>
      </rPr>
      <t xml:space="preserve">=EU </t>
    </r>
    <r>
      <rPr>
        <i val="true"/>
        <sz val="9"/>
        <rFont val="WenQuanYi Zen Hei"/>
        <family val="2"/>
      </rPr>
      <t xml:space="preserve">가중효율</t>
    </r>
    <r>
      <rPr>
        <i val="true"/>
        <sz val="9"/>
        <rFont val="Malgun Gothic"/>
        <family val="0"/>
        <charset val="1"/>
      </rPr>
      <t xml:space="preserve">, C</t>
    </r>
    <r>
      <rPr>
        <i val="true"/>
        <sz val="9"/>
        <rFont val="WenQuanYi Zen Hei"/>
        <family val="2"/>
      </rPr>
      <t xml:space="preserve">열</t>
    </r>
    <r>
      <rPr>
        <i val="true"/>
        <sz val="9"/>
        <rFont val="Malgun Gothic"/>
        <family val="0"/>
        <charset val="1"/>
      </rPr>
      <t xml:space="preserve">=CEC </t>
    </r>
    <r>
      <rPr>
        <i val="true"/>
        <sz val="9"/>
        <rFont val="WenQuanYi Zen Hei"/>
        <family val="2"/>
      </rPr>
      <t xml:space="preserve">가중효율</t>
    </r>
  </si>
  <si>
    <t xml:space="preserve">가중계수 출처 및 주의</t>
  </si>
  <si>
    <r>
      <rPr>
        <sz val="9"/>
        <rFont val="Malgun Gothic"/>
        <family val="0"/>
        <charset val="1"/>
      </rPr>
      <t xml:space="preserve">• EU / CEC </t>
    </r>
    <r>
      <rPr>
        <sz val="9"/>
        <rFont val="WenQuanYi Zen Hei"/>
        <family val="2"/>
      </rPr>
      <t xml:space="preserve">가중계수는 업계에 널리 통용되는 값이며 두 식 모두 계수 합 </t>
    </r>
    <r>
      <rPr>
        <sz val="9"/>
        <rFont val="Malgun Gothic"/>
        <family val="0"/>
        <charset val="1"/>
      </rPr>
      <t xml:space="preserve">= 1.00 </t>
    </r>
    <r>
      <rPr>
        <sz val="9"/>
        <rFont val="WenQuanYi Zen Hei"/>
        <family val="2"/>
      </rPr>
      <t xml:space="preserve">입니다 </t>
    </r>
    <r>
      <rPr>
        <sz val="9"/>
        <rFont val="Malgun Gothic"/>
        <family val="0"/>
        <charset val="1"/>
      </rPr>
      <t xml:space="preserve">(B12·C12</t>
    </r>
    <r>
      <rPr>
        <sz val="9"/>
        <rFont val="WenQuanYi Zen Hei"/>
        <family val="2"/>
      </rPr>
      <t xml:space="preserve">에서 확인</t>
    </r>
    <r>
      <rPr>
        <sz val="9"/>
        <rFont val="Malgun Gothic"/>
        <family val="0"/>
        <charset val="1"/>
      </rPr>
      <t xml:space="preserve">).</t>
    </r>
  </si>
  <si>
    <r>
      <rPr>
        <sz val="9"/>
        <rFont val="WenQuanYi Zen Hei"/>
        <family val="2"/>
      </rPr>
      <t xml:space="preserve">• 심사기준이 </t>
    </r>
    <r>
      <rPr>
        <sz val="9"/>
        <rFont val="Malgun Gothic"/>
        <family val="0"/>
        <charset val="1"/>
      </rPr>
      <t xml:space="preserve">'</t>
    </r>
    <r>
      <rPr>
        <sz val="9"/>
        <rFont val="WenQuanYi Zen Hei"/>
        <family val="2"/>
      </rPr>
      <t xml:space="preserve">정격효율</t>
    </r>
    <r>
      <rPr>
        <sz val="9"/>
        <rFont val="Malgun Gothic"/>
        <family val="0"/>
        <charset val="1"/>
      </rPr>
      <t xml:space="preserve">'</t>
    </r>
    <r>
      <rPr>
        <sz val="9"/>
        <rFont val="WenQuanYi Zen Hei"/>
        <family val="2"/>
      </rPr>
      <t xml:space="preserve">을 요구하는지 </t>
    </r>
    <r>
      <rPr>
        <sz val="9"/>
        <rFont val="Malgun Gothic"/>
        <family val="0"/>
        <charset val="1"/>
      </rPr>
      <t xml:space="preserve">'</t>
    </r>
    <r>
      <rPr>
        <sz val="9"/>
        <rFont val="WenQuanYi Zen Hei"/>
        <family val="2"/>
      </rPr>
      <t xml:space="preserve">가중효율</t>
    </r>
    <r>
      <rPr>
        <sz val="9"/>
        <rFont val="Malgun Gothic"/>
        <family val="0"/>
        <charset val="1"/>
      </rPr>
      <t xml:space="preserve">'</t>
    </r>
    <r>
      <rPr>
        <sz val="9"/>
        <rFont val="WenQuanYi Zen Hei"/>
        <family val="2"/>
      </rPr>
      <t xml:space="preserve">을 요구하는지</t>
    </r>
    <r>
      <rPr>
        <sz val="9"/>
        <rFont val="Malgun Gothic"/>
        <family val="0"/>
        <charset val="1"/>
      </rPr>
      <t xml:space="preserve">, </t>
    </r>
    <r>
      <rPr>
        <sz val="9"/>
        <rFont val="WenQuanYi Zen Hei"/>
        <family val="2"/>
      </rPr>
      <t xml:space="preserve">가중식이 </t>
    </r>
    <r>
      <rPr>
        <sz val="9"/>
        <rFont val="Malgun Gothic"/>
        <family val="0"/>
        <charset val="1"/>
      </rPr>
      <t xml:space="preserve">EU</t>
    </r>
    <r>
      <rPr>
        <sz val="9"/>
        <rFont val="WenQuanYi Zen Hei"/>
        <family val="2"/>
      </rPr>
      <t xml:space="preserve">인지 </t>
    </r>
    <r>
      <rPr>
        <sz val="9"/>
        <rFont val="Malgun Gothic"/>
        <family val="0"/>
        <charset val="1"/>
      </rPr>
      <t xml:space="preserve">CEC</t>
    </r>
    <r>
      <rPr>
        <sz val="9"/>
        <rFont val="WenQuanYi Zen Hei"/>
        <family val="2"/>
      </rPr>
      <t xml:space="preserve">인지 미확인 상태입니다</t>
    </r>
    <r>
      <rPr>
        <sz val="9"/>
        <rFont val="Malgun Gothic"/>
        <family val="0"/>
        <charset val="1"/>
      </rPr>
      <t xml:space="preserve">.</t>
    </r>
  </si>
  <si>
    <r>
      <rPr>
        <sz val="9"/>
        <rFont val="Malgun Gothic"/>
        <family val="0"/>
        <charset val="1"/>
      </rPr>
      <t xml:space="preserve">• EU</t>
    </r>
    <r>
      <rPr>
        <sz val="9"/>
        <rFont val="WenQuanYi Zen Hei"/>
        <family val="2"/>
      </rPr>
      <t xml:space="preserve">는 </t>
    </r>
    <r>
      <rPr>
        <sz val="9"/>
        <rFont val="Malgun Gothic"/>
        <family val="0"/>
        <charset val="1"/>
      </rPr>
      <t xml:space="preserve">50% </t>
    </r>
    <r>
      <rPr>
        <sz val="9"/>
        <rFont val="WenQuanYi Zen Hei"/>
        <family val="2"/>
      </rPr>
      <t xml:space="preserve">부하</t>
    </r>
    <r>
      <rPr>
        <sz val="9"/>
        <rFont val="Malgun Gothic"/>
        <family val="0"/>
        <charset val="1"/>
      </rPr>
      <t xml:space="preserve">, CEC</t>
    </r>
    <r>
      <rPr>
        <sz val="9"/>
        <rFont val="WenQuanYi Zen Hei"/>
        <family val="2"/>
      </rPr>
      <t xml:space="preserve">는 </t>
    </r>
    <r>
      <rPr>
        <sz val="9"/>
        <rFont val="Malgun Gothic"/>
        <family val="0"/>
        <charset val="1"/>
      </rPr>
      <t xml:space="preserve">75% </t>
    </r>
    <r>
      <rPr>
        <sz val="9"/>
        <rFont val="WenQuanYi Zen Hei"/>
        <family val="2"/>
      </rPr>
      <t xml:space="preserve">부하에 가중치가 집중되므로 어느 식이냐에 따라 최적화 대상 구간이 달라집니다</t>
    </r>
    <r>
      <rPr>
        <sz val="9"/>
        <rFont val="Malgun Gothic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</si>
  <si>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• 측정 시 입력전압 레벨</t>
    </r>
    <r>
      <rPr>
        <sz val="9"/>
        <rFont val="Malgun Gothic"/>
        <family val="0"/>
        <charset val="1"/>
      </rPr>
      <t xml:space="preserve">(V_mpp min / nom / max)</t>
    </r>
    <r>
      <rPr>
        <sz val="9"/>
        <rFont val="WenQuanYi Zen Hei"/>
        <family val="2"/>
      </rPr>
      <t xml:space="preserve">별로 이 표를 각각 작성하십시오</t>
    </r>
    <r>
      <rPr>
        <sz val="9"/>
        <rFont val="Malgun Gothic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</si>
  <si>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• 전력분석기 기본확도가 </t>
    </r>
    <r>
      <rPr>
        <sz val="9"/>
        <rFont val="Malgun Gothic"/>
        <family val="0"/>
        <charset val="1"/>
      </rPr>
      <t xml:space="preserve">0.05% </t>
    </r>
    <r>
      <rPr>
        <sz val="9"/>
        <rFont val="WenQuanYi Zen Hei"/>
        <family val="2"/>
      </rPr>
      <t xml:space="preserve">급이 아니면 합불 판정에 필요한 분해능이 나오지 않습니다</t>
    </r>
    <r>
      <rPr>
        <sz val="9"/>
        <rFont val="Malgun Gothic"/>
        <family val="0"/>
        <charset val="1"/>
      </rPr>
      <t xml:space="preserve">.</t>
    </r>
  </si>
  <si>
    <t xml:space="preserve">시험 이력 — 측정 조건 기록</t>
  </si>
  <si>
    <r>
      <rPr>
        <i val="true"/>
        <sz val="9"/>
        <color rgb="FFC00000"/>
        <rFont val="WenQuanYi Zen Hei"/>
        <family val="2"/>
      </rPr>
      <t xml:space="preserve">재현성 분쟁을 막으려면 아래 항목을 매 측정마다 남기십시오</t>
    </r>
    <r>
      <rPr>
        <i val="true"/>
        <sz val="9"/>
        <color rgb="FFC00000"/>
        <rFont val="Malgun Gothic"/>
        <family val="0"/>
        <charset val="1"/>
      </rPr>
      <t xml:space="preserve">. </t>
    </r>
    <r>
      <rPr>
        <i val="true"/>
        <sz val="9"/>
        <color rgb="FFC00000"/>
        <rFont val="WenQuanYi Zen Hei"/>
        <family val="2"/>
      </rPr>
      <t xml:space="preserve">특히 </t>
    </r>
    <r>
      <rPr>
        <i val="true"/>
        <sz val="9"/>
        <color rgb="FFC00000"/>
        <rFont val="Malgun Gothic"/>
        <family val="0"/>
        <charset val="1"/>
      </rPr>
      <t xml:space="preserve">FW </t>
    </r>
    <r>
      <rPr>
        <i val="true"/>
        <sz val="9"/>
        <color rgb="FFC00000"/>
        <rFont val="WenQuanYi Zen Hei"/>
        <family val="2"/>
      </rPr>
      <t xml:space="preserve">버전은 보호 정정치가 파라미터화되면 성적서 유효성을 좌우합니다</t>
    </r>
    <r>
      <rPr>
        <i val="true"/>
        <sz val="9"/>
        <color rgb="FFC00000"/>
        <rFont val="Malgun Gothic"/>
        <family val="0"/>
        <charset val="1"/>
      </rPr>
      <t xml:space="preserve">.</t>
    </r>
  </si>
  <si>
    <t xml:space="preserve">시험일시</t>
  </si>
  <si>
    <t xml:space="preserve">시험자</t>
  </si>
  <si>
    <r>
      <rPr>
        <b val="true"/>
        <sz val="10"/>
        <color rgb="FFFFFFFF"/>
        <rFont val="WenQuanYi Zen Hei"/>
        <family val="2"/>
      </rPr>
      <t xml:space="preserve">시료 </t>
    </r>
    <r>
      <rPr>
        <b val="true"/>
        <sz val="10"/>
        <color rgb="FFFFFFFF"/>
        <rFont val="Malgun Gothic"/>
        <family val="0"/>
        <charset val="1"/>
      </rPr>
      <t xml:space="preserve">S/N</t>
    </r>
  </si>
  <si>
    <r>
      <rPr>
        <b val="true"/>
        <sz val="10"/>
        <color rgb="FFFFFFFF"/>
        <rFont val="Malgun Gothic"/>
        <family val="0"/>
        <charset val="1"/>
      </rPr>
      <t xml:space="preserve">HW </t>
    </r>
    <r>
      <rPr>
        <b val="true"/>
        <sz val="10"/>
        <color rgb="FFFFFFFF"/>
        <rFont val="WenQuanYi Zen Hei"/>
        <family val="2"/>
      </rPr>
      <t xml:space="preserve">리비전</t>
    </r>
  </si>
  <si>
    <r>
      <rPr>
        <b val="true"/>
        <sz val="10"/>
        <color rgb="FFFFFFFF"/>
        <rFont val="Malgun Gothic"/>
        <family val="0"/>
        <charset val="1"/>
      </rPr>
      <t xml:space="preserve">FW </t>
    </r>
    <r>
      <rPr>
        <b val="true"/>
        <sz val="10"/>
        <color rgb="FFFFFFFF"/>
        <rFont val="WenQuanYi Zen Hei"/>
        <family val="2"/>
      </rPr>
      <t xml:space="preserve">버전</t>
    </r>
  </si>
  <si>
    <r>
      <rPr>
        <b val="true"/>
        <sz val="10"/>
        <color rgb="FFFFFFFF"/>
        <rFont val="WenQuanYi Zen Hei"/>
        <family val="2"/>
      </rPr>
      <t xml:space="preserve">주위온도 </t>
    </r>
    <r>
      <rPr>
        <b val="true"/>
        <sz val="10"/>
        <color rgb="FFFFFFFF"/>
        <rFont val="Malgun Gothic"/>
        <family val="0"/>
        <charset val="1"/>
      </rPr>
      <t xml:space="preserve">(°C)</t>
    </r>
  </si>
  <si>
    <r>
      <rPr>
        <b val="true"/>
        <sz val="10"/>
        <color rgb="FFFFFFFF"/>
        <rFont val="WenQuanYi Zen Hei"/>
        <family val="2"/>
      </rPr>
      <t xml:space="preserve">습도 </t>
    </r>
    <r>
      <rPr>
        <b val="true"/>
        <sz val="10"/>
        <color rgb="FFFFFFFF"/>
        <rFont val="Malgun Gothic"/>
        <family val="0"/>
        <charset val="1"/>
      </rPr>
      <t xml:space="preserve">(%RH)</t>
    </r>
  </si>
  <si>
    <t xml:space="preserve">시험 항목번호</t>
  </si>
  <si>
    <t xml:space="preserve">계측기 모델</t>
  </si>
  <si>
    <r>
      <rPr>
        <b val="true"/>
        <sz val="10"/>
        <color rgb="FFFFFFFF"/>
        <rFont val="WenQuanYi Zen Hei"/>
        <family val="2"/>
      </rPr>
      <t xml:space="preserve">계측기 </t>
    </r>
    <r>
      <rPr>
        <b val="true"/>
        <sz val="10"/>
        <color rgb="FFFFFFFF"/>
        <rFont val="Malgun Gothic"/>
        <family val="0"/>
        <charset val="1"/>
      </rPr>
      <t xml:space="preserve">S/N</t>
    </r>
  </si>
  <si>
    <t xml:space="preserve">교정 유효일</t>
  </si>
  <si>
    <t xml:space="preserve">특이사항</t>
  </si>
  <si>
    <t xml:space="preserve">판정 집계</t>
  </si>
  <si>
    <t xml:space="preserve">항목 수</t>
  </si>
  <si>
    <t xml:space="preserve">불합격</t>
  </si>
  <si>
    <t xml:space="preserve">미측정</t>
  </si>
  <si>
    <t xml:space="preserve">판정 결과</t>
  </si>
  <si>
    <r>
      <rPr>
        <i val="true"/>
        <sz val="9"/>
        <rFont val="WenQuanYi Zen Hei"/>
        <family val="2"/>
      </rPr>
      <t xml:space="preserve">※ 치명결함은 통상 </t>
    </r>
    <r>
      <rPr>
        <i val="true"/>
        <sz val="9"/>
        <rFont val="Malgun Gothic"/>
        <family val="0"/>
        <charset val="1"/>
      </rPr>
      <t xml:space="preserve">1</t>
    </r>
    <r>
      <rPr>
        <i val="true"/>
        <sz val="9"/>
        <rFont val="WenQuanYi Zen Hei"/>
        <family val="2"/>
      </rPr>
      <t xml:space="preserve">건으로 불합격입니다</t>
    </r>
    <r>
      <rPr>
        <i val="true"/>
        <sz val="9"/>
        <rFont val="Malgun Gothic"/>
        <family val="0"/>
        <charset val="1"/>
      </rPr>
      <t xml:space="preserve">. </t>
    </r>
    <r>
      <rPr>
        <i val="true"/>
        <sz val="9"/>
        <rFont val="WenQuanYi Zen Hei"/>
        <family val="2"/>
      </rPr>
      <t xml:space="preserve">중</t>
    </r>
    <r>
      <rPr>
        <i val="true"/>
        <sz val="9"/>
        <rFont val="Malgun Gothic"/>
        <family val="0"/>
        <charset val="1"/>
      </rPr>
      <t xml:space="preserve">·</t>
    </r>
    <r>
      <rPr>
        <i val="true"/>
        <sz val="9"/>
        <rFont val="WenQuanYi Zen Hei"/>
        <family val="2"/>
      </rPr>
      <t xml:space="preserve">경결함 허용 개수는 심사기준 본문의 합부판정 조항을 확인해 이 시트에 반영하십시오</t>
    </r>
    <r>
      <rPr>
        <i val="true"/>
        <sz val="9"/>
        <rFont val="Malgun Gothic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</si>
</sst>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0%"/>
    <numFmt numFmtId="167" formatCode="0.00"/>
    <numFmt numFmtId="168" formatCode="0.000"/>
    <numFmt numFmtId="169" formatCode="General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WenQuanYi Zen Hei"/>
      <family val="2"/>
    </font>
    <font>
      <b val="true"/>
      <sz val="15"/>
      <color rgb="FF1F3864"/>
      <name val="Malgun Gothic"/>
      <family val="0"/>
      <charset val="1"/>
    </font>
    <font>
      <b val="true"/>
      <sz val="12"/>
      <name val="Malgun Gothic"/>
      <family val="0"/>
      <charset val="1"/>
    </font>
    <font>
      <b val="true"/>
      <sz val="12"/>
      <name val="WenQuanYi Zen Hei"/>
      <family val="2"/>
    </font>
    <font>
      <b val="true"/>
      <sz val="10"/>
      <name val="WenQuanYi Zen Hei"/>
      <family val="2"/>
    </font>
    <font>
      <sz val="10"/>
      <name val="Malgun Gothic"/>
      <family val="0"/>
      <charset val="1"/>
    </font>
    <font>
      <sz val="10"/>
      <name val="WenQuanYi Zen Hei"/>
      <family val="2"/>
    </font>
    <font>
      <b val="true"/>
      <sz val="9"/>
      <color rgb="FFFFFFFF"/>
      <name val="WenQuanYi Zen Hei"/>
      <family val="2"/>
    </font>
    <font>
      <sz val="9"/>
      <name val="Malgun Gothic"/>
      <family val="0"/>
      <charset val="1"/>
    </font>
    <font>
      <sz val="9"/>
      <name val="WenQuanYi Zen Hei"/>
      <family val="2"/>
    </font>
    <font>
      <i val="true"/>
      <sz val="9"/>
      <color rgb="FFC00000"/>
      <name val="WenQuanYi Zen Hei"/>
      <family val="2"/>
    </font>
    <font>
      <i val="true"/>
      <sz val="9"/>
      <color rgb="FFC00000"/>
      <name val="Malgun Gothic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Malgun Gothic"/>
      <family val="0"/>
      <charset val="1"/>
    </font>
    <font>
      <sz val="9"/>
      <color rgb="FF0000FF"/>
      <name val="Malgun Gothic"/>
      <family val="0"/>
      <charset val="1"/>
    </font>
    <font>
      <b val="true"/>
      <sz val="9"/>
      <name val="Malgun Gothic"/>
      <family val="0"/>
      <charset val="1"/>
    </font>
    <font>
      <b val="true"/>
      <sz val="9"/>
      <color rgb="FFC00000"/>
      <name val="WenQuanYi Zen Hei"/>
      <family val="2"/>
    </font>
    <font>
      <b val="true"/>
      <sz val="14"/>
      <color rgb="FF1F3864"/>
      <name val="WenQuanYi Zen Hei"/>
      <family val="2"/>
    </font>
    <font>
      <b val="true"/>
      <sz val="14"/>
      <color rgb="FF1F3864"/>
      <name val="Malgun Gothic"/>
      <family val="0"/>
      <charset val="1"/>
    </font>
    <font>
      <i val="true"/>
      <sz val="9"/>
      <name val="WenQuanYi Zen Hei"/>
      <family val="2"/>
    </font>
    <font>
      <i val="true"/>
      <sz val="9"/>
      <name val="Malgun Gothic"/>
      <family val="0"/>
      <charset val="1"/>
    </font>
    <font>
      <sz val="10"/>
      <color rgb="FF0000FF"/>
      <name val="Malgun Gothic"/>
      <family val="0"/>
      <charset val="1"/>
    </font>
    <font>
      <b val="true"/>
      <sz val="11"/>
      <name val="WenQuanYi Zen Hei"/>
      <family val="2"/>
    </font>
    <font>
      <b val="true"/>
      <sz val="11"/>
      <name val="Malgun Gothic"/>
      <family val="0"/>
      <charset val="1"/>
    </font>
    <font>
      <b val="true"/>
      <sz val="12"/>
      <color rgb="FFC00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FD6D6"/>
        <bgColor rgb="FFD9E2F3"/>
      </patternFill>
    </fill>
    <fill>
      <patternFill patternType="solid">
        <fgColor rgb="FFD9E2F3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6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11" min="3" style="0" width="15"/>
  </cols>
  <sheetData>
    <row r="1" customFormat="false" ht="20.1" hidden="false" customHeight="false" outlineLevel="0" collapsed="false">
      <c r="A1" s="1" t="s">
        <v>0</v>
      </c>
    </row>
    <row r="3" customFormat="false" ht="16.4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5" t="s">
        <v>7</v>
      </c>
    </row>
    <row r="7" customFormat="false" ht="15" hidden="false" customHeight="false" outlineLevel="0" collapsed="false">
      <c r="A7" s="3" t="s">
        <v>8</v>
      </c>
      <c r="B7" s="5" t="s">
        <v>9</v>
      </c>
    </row>
    <row r="9" customFormat="false" ht="16.4" hidden="false" customHeight="false" outlineLevel="0" collapsed="false">
      <c r="A9" s="2" t="s">
        <v>10</v>
      </c>
    </row>
    <row r="10" customFormat="false" ht="15" hidden="false" customHeight="false" outlineLevel="0" collapsed="false">
      <c r="A10" s="6" t="s">
        <v>11</v>
      </c>
      <c r="B10" s="5" t="s">
        <v>12</v>
      </c>
    </row>
    <row r="11" customFormat="false" ht="15" hidden="false" customHeight="false" outlineLevel="0" collapsed="false">
      <c r="A11" s="3" t="s">
        <v>13</v>
      </c>
      <c r="B11" s="5" t="s">
        <v>14</v>
      </c>
    </row>
    <row r="12" customFormat="false" ht="15" hidden="false" customHeight="false" outlineLevel="0" collapsed="false">
      <c r="A12" s="3" t="s">
        <v>15</v>
      </c>
      <c r="B12" s="5" t="s">
        <v>16</v>
      </c>
    </row>
    <row r="14" customFormat="false" ht="16.4" hidden="false" customHeight="false" outlineLevel="0" collapsed="false">
      <c r="A14" s="2" t="s">
        <v>17</v>
      </c>
    </row>
    <row r="15" customFormat="false" ht="15" hidden="false" customHeight="false" outlineLevel="0" collapsed="false">
      <c r="A15" s="3" t="s">
        <v>18</v>
      </c>
      <c r="B15" s="5" t="s">
        <v>19</v>
      </c>
    </row>
    <row r="16" customFormat="false" ht="15" hidden="false" customHeight="false" outlineLevel="0" collapsed="false">
      <c r="A16" s="3" t="s">
        <v>20</v>
      </c>
      <c r="B16" s="5" t="s">
        <v>21</v>
      </c>
    </row>
    <row r="17" customFormat="false" ht="15" hidden="false" customHeight="false" outlineLevel="0" collapsed="false">
      <c r="A17" s="3" t="s">
        <v>22</v>
      </c>
      <c r="B17" s="5" t="s">
        <v>23</v>
      </c>
    </row>
    <row r="19" customFormat="false" ht="16.4" hidden="false" customHeight="false" outlineLevel="0" collapsed="false">
      <c r="A19" s="2" t="s">
        <v>24</v>
      </c>
    </row>
    <row r="20" customFormat="false" ht="15" hidden="false" customHeight="false" outlineLevel="0" collapsed="false">
      <c r="A20" s="7" t="s">
        <v>25</v>
      </c>
      <c r="B20" s="7" t="s">
        <v>26</v>
      </c>
      <c r="C20" s="7" t="s">
        <v>27</v>
      </c>
      <c r="D20" s="7" t="s">
        <v>28</v>
      </c>
      <c r="E20" s="7" t="s">
        <v>29</v>
      </c>
      <c r="F20" s="7" t="s">
        <v>30</v>
      </c>
      <c r="G20" s="7" t="s">
        <v>31</v>
      </c>
      <c r="H20" s="7" t="s">
        <v>32</v>
      </c>
    </row>
    <row r="21" customFormat="false" ht="15" hidden="false" customHeight="false" outlineLevel="0" collapsed="false">
      <c r="A21" s="8" t="n">
        <v>11</v>
      </c>
      <c r="B21" s="9" t="s">
        <v>33</v>
      </c>
      <c r="C21" s="9" t="s">
        <v>20</v>
      </c>
      <c r="D21" s="8" t="n">
        <v>5</v>
      </c>
      <c r="E21" s="8" t="n">
        <v>3.2</v>
      </c>
      <c r="F21" s="8"/>
      <c r="G21" s="10" t="n">
        <v>0.36</v>
      </c>
      <c r="H21" s="9" t="s">
        <v>34</v>
      </c>
    </row>
    <row r="22" customFormat="false" ht="15" hidden="false" customHeight="false" outlineLevel="0" collapsed="false">
      <c r="A22" s="8" t="n">
        <v>2</v>
      </c>
      <c r="B22" s="9" t="s">
        <v>35</v>
      </c>
      <c r="C22" s="9" t="s">
        <v>18</v>
      </c>
      <c r="D22" s="8" t="n">
        <v>1</v>
      </c>
      <c r="E22" s="8" t="n">
        <v>120</v>
      </c>
      <c r="F22" s="8"/>
      <c r="G22" s="10" t="n">
        <v>119</v>
      </c>
      <c r="H22" s="9" t="s">
        <v>34</v>
      </c>
    </row>
    <row r="23" customFormat="false" ht="15" hidden="false" customHeight="false" outlineLevel="0" collapsed="false">
      <c r="A23" s="8" t="n">
        <v>22</v>
      </c>
      <c r="B23" s="9" t="s">
        <v>36</v>
      </c>
      <c r="C23" s="9" t="s">
        <v>22</v>
      </c>
      <c r="D23" s="8"/>
      <c r="E23" s="8"/>
      <c r="F23" s="9" t="s">
        <v>34</v>
      </c>
      <c r="G23" s="10"/>
      <c r="H23" s="9" t="s">
        <v>34</v>
      </c>
    </row>
    <row r="25" customFormat="false" ht="15" hidden="false" customHeight="false" outlineLevel="0" collapsed="false">
      <c r="A25" s="11" t="s">
        <v>37</v>
      </c>
    </row>
    <row r="27" customFormat="false" ht="16.4" hidden="false" customHeight="false" outlineLevel="0" collapsed="false">
      <c r="A27" s="2" t="s">
        <v>38</v>
      </c>
    </row>
    <row r="28" customFormat="false" ht="15" hidden="false" customHeight="false" outlineLevel="0" collapsed="false">
      <c r="A28" s="4" t="s">
        <v>39</v>
      </c>
    </row>
    <row r="29" customFormat="false" ht="15" hidden="false" customHeight="false" outlineLevel="0" collapsed="false">
      <c r="A29" s="5" t="s">
        <v>40</v>
      </c>
    </row>
    <row r="30" customFormat="false" ht="15" hidden="false" customHeight="false" outlineLevel="0" collapsed="false">
      <c r="A30" s="5" t="s">
        <v>41</v>
      </c>
    </row>
    <row r="31" customFormat="false" ht="15" hidden="false" customHeight="false" outlineLevel="0" collapsed="false">
      <c r="A31" s="4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11" min="9" style="0" width="10"/>
    <col collapsed="false" customWidth="true" hidden="false" outlineLevel="0" max="12" min="12" style="0" width="34"/>
    <col collapsed="false" customWidth="true" hidden="false" outlineLevel="0" max="13" min="13" style="0" width="44"/>
    <col collapsed="false" customWidth="true" hidden="false" outlineLevel="0" max="14" min="14" style="0" width="38"/>
    <col collapsed="false" customWidth="true" hidden="false" outlineLevel="0" max="15" min="15" style="0" width="24"/>
  </cols>
  <sheetData>
    <row r="1" customFormat="false" ht="20.1" hidden="false" customHeight="false" outlineLevel="0" collapsed="false">
      <c r="A1" s="1" t="s">
        <v>43</v>
      </c>
    </row>
    <row r="2" customFormat="false" ht="15" hidden="false" customHeight="false" outlineLevel="0" collapsed="false">
      <c r="A2" s="11" t="s">
        <v>44</v>
      </c>
    </row>
    <row r="4" customFormat="false" ht="15" hidden="false" customHeight="false" outlineLevel="0" collapsed="false">
      <c r="A4" s="12" t="s">
        <v>25</v>
      </c>
      <c r="B4" s="12" t="s">
        <v>26</v>
      </c>
      <c r="C4" s="12" t="s">
        <v>45</v>
      </c>
      <c r="D4" s="12" t="s">
        <v>46</v>
      </c>
      <c r="E4" s="12" t="s">
        <v>47</v>
      </c>
      <c r="F4" s="12" t="s">
        <v>27</v>
      </c>
      <c r="G4" s="12" t="s">
        <v>28</v>
      </c>
      <c r="H4" s="12" t="s">
        <v>29</v>
      </c>
      <c r="I4" s="12" t="s">
        <v>30</v>
      </c>
      <c r="J4" s="12" t="s">
        <v>31</v>
      </c>
      <c r="K4" s="12" t="s">
        <v>32</v>
      </c>
      <c r="L4" s="12" t="s">
        <v>48</v>
      </c>
      <c r="M4" s="12" t="s">
        <v>49</v>
      </c>
      <c r="N4" s="12" t="s">
        <v>50</v>
      </c>
      <c r="O4" s="12" t="s">
        <v>51</v>
      </c>
    </row>
    <row r="5" customFormat="false" ht="30" hidden="false" customHeight="true" outlineLevel="0" collapsed="false">
      <c r="A5" s="13" t="n">
        <v>1</v>
      </c>
      <c r="B5" s="14" t="s">
        <v>52</v>
      </c>
      <c r="C5" s="15" t="s">
        <v>53</v>
      </c>
      <c r="D5" s="14" t="s">
        <v>54</v>
      </c>
      <c r="E5" s="16" t="s">
        <v>55</v>
      </c>
      <c r="F5" s="15" t="s">
        <v>22</v>
      </c>
      <c r="G5" s="17"/>
      <c r="H5" s="17"/>
      <c r="I5" s="17"/>
      <c r="J5" s="18" t="str">
        <f aca="false">IFERROR(IF($F5="이하",($G5-$H5)/$G5,IF($F5="이상",($H5-$G5)/$G5,"")),"")</f>
        <v/>
      </c>
      <c r="K5" s="19" t="str">
        <f aca="false">IF($F5="양부",IF($I5="","",$I5),IF(OR($G5="",$H5=""),"",IF($F5="이하",IF($H5&lt;=$G5,"합격","불합격"),IF($F5="이상",IF($H5&gt;=$G5,"합격","불합격"),""))))</f>
        <v/>
      </c>
      <c r="L5" s="16" t="s">
        <v>56</v>
      </c>
      <c r="M5" s="14" t="s">
        <v>57</v>
      </c>
      <c r="N5" s="14" t="s">
        <v>58</v>
      </c>
      <c r="O5" s="20"/>
    </row>
    <row r="6" customFormat="false" ht="30" hidden="false" customHeight="true" outlineLevel="0" collapsed="false">
      <c r="A6" s="13" t="n">
        <v>2</v>
      </c>
      <c r="B6" s="14" t="s">
        <v>59</v>
      </c>
      <c r="C6" s="21" t="s">
        <v>60</v>
      </c>
      <c r="D6" s="14" t="s">
        <v>35</v>
      </c>
      <c r="E6" s="16" t="s">
        <v>61</v>
      </c>
      <c r="F6" s="15" t="s">
        <v>18</v>
      </c>
      <c r="G6" s="17"/>
      <c r="H6" s="17"/>
      <c r="I6" s="17"/>
      <c r="J6" s="18" t="str">
        <f aca="false">IFERROR(IF($F6="이하",($G6-$H6)/$G6,IF($F6="이상",($H6-$G6)/$G6,"")),"")</f>
        <v/>
      </c>
      <c r="K6" s="19" t="str">
        <f aca="false">IF($F6="양부",IF($I6="","",$I6),IF(OR($G6="",$H6=""),"",IF($F6="이하",IF($H6&lt;=$G6,"합격","불합격"),IF($F6="이상",IF($H6&gt;=$G6,"합격","불합격"),""))))</f>
        <v/>
      </c>
      <c r="L6" s="16" t="s">
        <v>62</v>
      </c>
      <c r="M6" s="16" t="s">
        <v>63</v>
      </c>
      <c r="N6" s="14" t="s">
        <v>64</v>
      </c>
      <c r="O6" s="20"/>
    </row>
    <row r="7" customFormat="false" ht="30" hidden="false" customHeight="true" outlineLevel="0" collapsed="false">
      <c r="A7" s="13" t="n">
        <v>3</v>
      </c>
      <c r="B7" s="14" t="s">
        <v>65</v>
      </c>
      <c r="C7" s="21" t="s">
        <v>60</v>
      </c>
      <c r="D7" s="14" t="s">
        <v>66</v>
      </c>
      <c r="E7" s="14" t="s">
        <v>67</v>
      </c>
      <c r="F7" s="15" t="s">
        <v>22</v>
      </c>
      <c r="G7" s="17"/>
      <c r="H7" s="17"/>
      <c r="I7" s="17"/>
      <c r="J7" s="18" t="str">
        <f aca="false">IFERROR(IF($F7="이하",($G7-$H7)/$G7,IF($F7="이상",($H7-$G7)/$G7,"")),"")</f>
        <v/>
      </c>
      <c r="K7" s="19" t="str">
        <f aca="false">IF($F7="양부",IF($I7="","",$I7),IF(OR($G7="",$H7=""),"",IF($F7="이하",IF($H7&lt;=$G7,"합격","불합격"),IF($F7="이상",IF($H7&gt;=$G7,"합격","불합격"),""))))</f>
        <v/>
      </c>
      <c r="L7" s="16" t="s">
        <v>56</v>
      </c>
      <c r="M7" s="14" t="s">
        <v>68</v>
      </c>
      <c r="N7" s="14" t="s">
        <v>69</v>
      </c>
      <c r="O7" s="20"/>
    </row>
    <row r="8" customFormat="false" ht="30" hidden="false" customHeight="true" outlineLevel="0" collapsed="false">
      <c r="A8" s="13" t="n">
        <v>4</v>
      </c>
      <c r="B8" s="14" t="s">
        <v>70</v>
      </c>
      <c r="C8" s="21" t="s">
        <v>60</v>
      </c>
      <c r="D8" s="14" t="s">
        <v>71</v>
      </c>
      <c r="E8" s="16" t="s">
        <v>72</v>
      </c>
      <c r="F8" s="15" t="s">
        <v>20</v>
      </c>
      <c r="G8" s="17"/>
      <c r="H8" s="17"/>
      <c r="I8" s="17"/>
      <c r="J8" s="18" t="str">
        <f aca="false">IFERROR(IF($F8="이하",($G8-$H8)/$G8,IF($F8="이상",($H8-$G8)/$G8,"")),"")</f>
        <v/>
      </c>
      <c r="K8" s="19" t="str">
        <f aca="false">IF($F8="양부",IF($I8="","",$I8),IF(OR($G8="",$H8=""),"",IF($F8="이하",IF($H8&lt;=$G8,"합격","불합격"),IF($F8="이상",IF($H8&gt;=$G8,"합격","불합격"),""))))</f>
        <v/>
      </c>
      <c r="L8" s="16" t="s">
        <v>56</v>
      </c>
      <c r="M8" s="14" t="s">
        <v>73</v>
      </c>
      <c r="N8" s="16" t="s">
        <v>74</v>
      </c>
      <c r="O8" s="20"/>
    </row>
    <row r="9" customFormat="false" ht="30" hidden="false" customHeight="true" outlineLevel="0" collapsed="false">
      <c r="A9" s="13" t="n">
        <v>5</v>
      </c>
      <c r="B9" s="14" t="s">
        <v>75</v>
      </c>
      <c r="C9" s="21" t="s">
        <v>60</v>
      </c>
      <c r="D9" s="14" t="s">
        <v>76</v>
      </c>
      <c r="E9" s="16" t="s">
        <v>77</v>
      </c>
      <c r="F9" s="15" t="s">
        <v>18</v>
      </c>
      <c r="G9" s="17"/>
      <c r="H9" s="17"/>
      <c r="I9" s="17"/>
      <c r="J9" s="18" t="str">
        <f aca="false">IFERROR(IF($F9="이하",($G9-$H9)/$G9,IF($F9="이상",($H9-$G9)/$G9,"")),"")</f>
        <v/>
      </c>
      <c r="K9" s="19" t="str">
        <f aca="false">IF($F9="양부",IF($I9="","",$I9),IF(OR($G9="",$H9=""),"",IF($F9="이하",IF($H9&lt;=$G9,"합격","불합격"),IF($F9="이상",IF($H9&gt;=$G9,"합격","불합격"),""))))</f>
        <v/>
      </c>
      <c r="L9" s="16" t="s">
        <v>56</v>
      </c>
      <c r="M9" s="14" t="s">
        <v>78</v>
      </c>
      <c r="N9" s="14" t="s">
        <v>79</v>
      </c>
      <c r="O9" s="20"/>
    </row>
    <row r="10" customFormat="false" ht="30" hidden="false" customHeight="true" outlineLevel="0" collapsed="false">
      <c r="A10" s="13" t="n">
        <v>6</v>
      </c>
      <c r="B10" s="14" t="s">
        <v>80</v>
      </c>
      <c r="C10" s="21" t="s">
        <v>60</v>
      </c>
      <c r="D10" s="14" t="s">
        <v>81</v>
      </c>
      <c r="E10" s="16" t="s">
        <v>82</v>
      </c>
      <c r="F10" s="15" t="s">
        <v>20</v>
      </c>
      <c r="G10" s="17"/>
      <c r="H10" s="17"/>
      <c r="I10" s="17"/>
      <c r="J10" s="18" t="str">
        <f aca="false">IFERROR(IF($F10="이하",($G10-$H10)/$G10,IF($F10="이상",($H10-$G10)/$G10,"")),"")</f>
        <v/>
      </c>
      <c r="K10" s="19" t="str">
        <f aca="false">IF($F10="양부",IF($I10="","",$I10),IF(OR($G10="",$H10=""),"",IF($F10="이하",IF($H10&lt;=$G10,"합격","불합격"),IF($F10="이상",IF($H10&gt;=$G10,"합격","불합격"),""))))</f>
        <v/>
      </c>
      <c r="L10" s="16" t="s">
        <v>83</v>
      </c>
      <c r="M10" s="14" t="s">
        <v>84</v>
      </c>
      <c r="N10" s="14" t="s">
        <v>85</v>
      </c>
      <c r="O10" s="20"/>
    </row>
    <row r="11" customFormat="false" ht="30" hidden="false" customHeight="true" outlineLevel="0" collapsed="false">
      <c r="A11" s="13" t="n">
        <v>7</v>
      </c>
      <c r="B11" s="14" t="s">
        <v>86</v>
      </c>
      <c r="C11" s="15" t="s">
        <v>87</v>
      </c>
      <c r="D11" s="14" t="s">
        <v>81</v>
      </c>
      <c r="E11" s="16" t="s">
        <v>88</v>
      </c>
      <c r="F11" s="15" t="s">
        <v>20</v>
      </c>
      <c r="G11" s="17"/>
      <c r="H11" s="17"/>
      <c r="I11" s="17"/>
      <c r="J11" s="18" t="str">
        <f aca="false">IFERROR(IF($F11="이하",($G11-$H11)/$G11,IF($F11="이상",($H11-$G11)/$G11,"")),"")</f>
        <v/>
      </c>
      <c r="K11" s="19" t="str">
        <f aca="false">IF($F11="양부",IF($I11="","",$I11),IF(OR($G11="",$H11=""),"",IF($F11="이하",IF($H11&lt;=$G11,"합격","불합격"),IF($F11="이상",IF($H11&gt;=$G11,"합격","불합격"),""))))</f>
        <v/>
      </c>
      <c r="L11" s="16" t="s">
        <v>89</v>
      </c>
      <c r="M11" s="14" t="s">
        <v>90</v>
      </c>
      <c r="N11" s="14" t="s">
        <v>85</v>
      </c>
      <c r="O11" s="20"/>
    </row>
    <row r="12" customFormat="false" ht="30" hidden="false" customHeight="true" outlineLevel="0" collapsed="false">
      <c r="A12" s="13" t="n">
        <v>8</v>
      </c>
      <c r="B12" s="14" t="s">
        <v>91</v>
      </c>
      <c r="C12" s="21" t="s">
        <v>60</v>
      </c>
      <c r="D12" s="14" t="s">
        <v>92</v>
      </c>
      <c r="E12" s="16" t="s">
        <v>93</v>
      </c>
      <c r="F12" s="15" t="s">
        <v>20</v>
      </c>
      <c r="G12" s="17"/>
      <c r="H12" s="17"/>
      <c r="I12" s="17"/>
      <c r="J12" s="18" t="str">
        <f aca="false">IFERROR(IF($F12="이하",($G12-$H12)/$G12,IF($F12="이상",($H12-$G12)/$G12,"")),"")</f>
        <v/>
      </c>
      <c r="K12" s="19" t="str">
        <f aca="false">IF($F12="양부",IF($I12="","",$I12),IF(OR($G12="",$H12=""),"",IF($F12="이하",IF($H12&lt;=$G12,"합격","불합격"),IF($F12="이상",IF($H12&gt;=$G12,"합격","불합격"),""))))</f>
        <v/>
      </c>
      <c r="L12" s="16" t="s">
        <v>94</v>
      </c>
      <c r="M12" s="16" t="s">
        <v>95</v>
      </c>
      <c r="N12" s="16" t="s">
        <v>96</v>
      </c>
      <c r="O12" s="20"/>
    </row>
    <row r="13" customFormat="false" ht="30" hidden="false" customHeight="true" outlineLevel="0" collapsed="false">
      <c r="A13" s="13" t="n">
        <v>9</v>
      </c>
      <c r="B13" s="14" t="s">
        <v>97</v>
      </c>
      <c r="C13" s="15" t="s">
        <v>87</v>
      </c>
      <c r="D13" s="14" t="s">
        <v>98</v>
      </c>
      <c r="E13" s="16" t="s">
        <v>93</v>
      </c>
      <c r="F13" s="15" t="s">
        <v>18</v>
      </c>
      <c r="G13" s="17"/>
      <c r="H13" s="17"/>
      <c r="I13" s="17"/>
      <c r="J13" s="18" t="str">
        <f aca="false">IFERROR(IF($F13="이하",($G13-$H13)/$G13,IF($F13="이상",($H13-$G13)/$G13,"")),"")</f>
        <v/>
      </c>
      <c r="K13" s="19" t="str">
        <f aca="false">IF($F13="양부",IF($I13="","",$I13),IF(OR($G13="",$H13=""),"",IF($F13="이하",IF($H13&lt;=$G13,"합격","불합격"),IF($F13="이상",IF($H13&gt;=$G13,"합격","불합격"),""))))</f>
        <v/>
      </c>
      <c r="L13" s="16" t="s">
        <v>99</v>
      </c>
      <c r="M13" s="14" t="s">
        <v>100</v>
      </c>
      <c r="N13" s="14" t="s">
        <v>101</v>
      </c>
      <c r="O13" s="20"/>
    </row>
    <row r="14" customFormat="false" ht="30" hidden="false" customHeight="true" outlineLevel="0" collapsed="false">
      <c r="A14" s="13" t="n">
        <v>10</v>
      </c>
      <c r="B14" s="14" t="s">
        <v>102</v>
      </c>
      <c r="C14" s="15" t="s">
        <v>87</v>
      </c>
      <c r="D14" s="14" t="s">
        <v>103</v>
      </c>
      <c r="E14" s="16" t="s">
        <v>104</v>
      </c>
      <c r="F14" s="15" t="s">
        <v>22</v>
      </c>
      <c r="G14" s="17"/>
      <c r="H14" s="17"/>
      <c r="I14" s="17"/>
      <c r="J14" s="18" t="str">
        <f aca="false">IFERROR(IF($F14="이하",($G14-$H14)/$G14,IF($F14="이상",($H14-$G14)/$G14,"")),"")</f>
        <v/>
      </c>
      <c r="K14" s="19" t="str">
        <f aca="false">IF($F14="양부",IF($I14="","",$I14),IF(OR($G14="",$H14=""),"",IF($F14="이하",IF($H14&lt;=$G14,"합격","불합격"),IF($F14="이상",IF($H14&gt;=$G14,"합격","불합격"),""))))</f>
        <v/>
      </c>
      <c r="L14" s="16" t="s">
        <v>56</v>
      </c>
      <c r="M14" s="14" t="s">
        <v>105</v>
      </c>
      <c r="N14" s="14" t="s">
        <v>106</v>
      </c>
      <c r="O14" s="20"/>
    </row>
    <row r="15" customFormat="false" ht="30" hidden="false" customHeight="true" outlineLevel="0" collapsed="false">
      <c r="A15" s="13" t="n">
        <v>11</v>
      </c>
      <c r="B15" s="14" t="s">
        <v>107</v>
      </c>
      <c r="C15" s="15" t="s">
        <v>87</v>
      </c>
      <c r="D15" s="14" t="s">
        <v>108</v>
      </c>
      <c r="E15" s="16" t="s">
        <v>109</v>
      </c>
      <c r="F15" s="15" t="s">
        <v>20</v>
      </c>
      <c r="G15" s="17"/>
      <c r="H15" s="17"/>
      <c r="I15" s="17"/>
      <c r="J15" s="18" t="str">
        <f aca="false">IFERROR(IF($F15="이하",($G15-$H15)/$G15,IF($F15="이상",($H15-$G15)/$G15,"")),"")</f>
        <v/>
      </c>
      <c r="K15" s="19" t="str">
        <f aca="false">IF($F15="양부",IF($I15="","",$I15),IF(OR($G15="",$H15=""),"",IF($F15="이하",IF($H15&lt;=$G15,"합격","불합격"),IF($F15="이상",IF($H15&gt;=$G15,"합격","불합격"),""))))</f>
        <v/>
      </c>
      <c r="L15" s="14" t="s">
        <v>110</v>
      </c>
      <c r="M15" s="14" t="s">
        <v>111</v>
      </c>
      <c r="N15" s="14" t="s">
        <v>112</v>
      </c>
      <c r="O15" s="20"/>
    </row>
    <row r="16" customFormat="false" ht="30" hidden="false" customHeight="true" outlineLevel="0" collapsed="false">
      <c r="A16" s="13" t="n">
        <v>12</v>
      </c>
      <c r="B16" s="14" t="s">
        <v>113</v>
      </c>
      <c r="C16" s="21" t="s">
        <v>60</v>
      </c>
      <c r="D16" s="14" t="s">
        <v>114</v>
      </c>
      <c r="E16" s="16" t="s">
        <v>115</v>
      </c>
      <c r="F16" s="15" t="s">
        <v>20</v>
      </c>
      <c r="G16" s="17"/>
      <c r="H16" s="17"/>
      <c r="I16" s="17"/>
      <c r="J16" s="18" t="str">
        <f aca="false">IFERROR(IF($F16="이하",($G16-$H16)/$G16,IF($F16="이상",($H16-$G16)/$G16,"")),"")</f>
        <v/>
      </c>
      <c r="K16" s="19" t="str">
        <f aca="false">IF($F16="양부",IF($I16="","",$I16),IF(OR($G16="",$H16=""),"",IF($F16="이하",IF($H16&lt;=$G16,"합격","불합격"),IF($F16="이상",IF($H16&gt;=$G16,"합격","불합격"),""))))</f>
        <v/>
      </c>
      <c r="L16" s="16" t="s">
        <v>56</v>
      </c>
      <c r="M16" s="14" t="s">
        <v>116</v>
      </c>
      <c r="N16" s="16" t="s">
        <v>117</v>
      </c>
      <c r="O16" s="20"/>
    </row>
    <row r="17" customFormat="false" ht="30" hidden="false" customHeight="true" outlineLevel="0" collapsed="false">
      <c r="A17" s="13" t="n">
        <v>13</v>
      </c>
      <c r="B17" s="14" t="s">
        <v>118</v>
      </c>
      <c r="C17" s="15" t="s">
        <v>87</v>
      </c>
      <c r="D17" s="14" t="s">
        <v>119</v>
      </c>
      <c r="E17" s="16" t="s">
        <v>120</v>
      </c>
      <c r="F17" s="15" t="s">
        <v>20</v>
      </c>
      <c r="G17" s="17"/>
      <c r="H17" s="17"/>
      <c r="I17" s="17"/>
      <c r="J17" s="18" t="str">
        <f aca="false">IFERROR(IF($F17="이하",($G17-$H17)/$G17,IF($F17="이상",($H17-$G17)/$G17,"")),"")</f>
        <v/>
      </c>
      <c r="K17" s="19" t="str">
        <f aca="false">IF($F17="양부",IF($I17="","",$I17),IF(OR($G17="",$H17=""),"",IF($F17="이하",IF($H17&lt;=$G17,"합격","불합격"),IF($F17="이상",IF($H17&gt;=$G17,"합격","불합격"),""))))</f>
        <v/>
      </c>
      <c r="L17" s="16" t="s">
        <v>56</v>
      </c>
      <c r="M17" s="14" t="s">
        <v>121</v>
      </c>
      <c r="N17" s="14" t="s">
        <v>122</v>
      </c>
      <c r="O17" s="20"/>
    </row>
    <row r="18" customFormat="false" ht="30" hidden="false" customHeight="true" outlineLevel="0" collapsed="false">
      <c r="A18" s="13" t="n">
        <v>14</v>
      </c>
      <c r="B18" s="14" t="s">
        <v>123</v>
      </c>
      <c r="C18" s="21" t="s">
        <v>60</v>
      </c>
      <c r="D18" s="14" t="s">
        <v>124</v>
      </c>
      <c r="E18" s="16" t="s">
        <v>109</v>
      </c>
      <c r="F18" s="15" t="s">
        <v>18</v>
      </c>
      <c r="G18" s="17"/>
      <c r="H18" s="17"/>
      <c r="I18" s="17"/>
      <c r="J18" s="18" t="str">
        <f aca="false">IFERROR(IF($F18="이하",($G18-$H18)/$G18,IF($F18="이상",($H18-$G18)/$G18,"")),"")</f>
        <v/>
      </c>
      <c r="K18" s="19" t="str">
        <f aca="false">IF($F18="양부",IF($I18="","",$I18),IF(OR($G18="",$H18=""),"",IF($F18="이하",IF($H18&lt;=$G18,"합격","불합격"),IF($F18="이상",IF($H18&gt;=$G18,"합격","불합격"),""))))</f>
        <v/>
      </c>
      <c r="L18" s="16" t="s">
        <v>56</v>
      </c>
      <c r="M18" s="16" t="s">
        <v>125</v>
      </c>
      <c r="N18" s="14" t="s">
        <v>126</v>
      </c>
      <c r="O18" s="20"/>
    </row>
    <row r="19" customFormat="false" ht="30" hidden="false" customHeight="true" outlineLevel="0" collapsed="false">
      <c r="A19" s="13" t="n">
        <v>15</v>
      </c>
      <c r="B19" s="14" t="s">
        <v>127</v>
      </c>
      <c r="C19" s="21" t="s">
        <v>60</v>
      </c>
      <c r="D19" s="14" t="s">
        <v>128</v>
      </c>
      <c r="E19" s="16" t="s">
        <v>129</v>
      </c>
      <c r="F19" s="15" t="s">
        <v>20</v>
      </c>
      <c r="G19" s="17"/>
      <c r="H19" s="17"/>
      <c r="I19" s="17"/>
      <c r="J19" s="18" t="str">
        <f aca="false">IFERROR(IF($F19="이하",($G19-$H19)/$G19,IF($F19="이상",($H19-$G19)/$G19,"")),"")</f>
        <v/>
      </c>
      <c r="K19" s="19" t="str">
        <f aca="false">IF($F19="양부",IF($I19="","",$I19),IF(OR($G19="",$H19=""),"",IF($F19="이하",IF($H19&lt;=$G19,"합격","불합격"),IF($F19="이상",IF($H19&gt;=$G19,"합격","불합격"),""))))</f>
        <v/>
      </c>
      <c r="L19" s="16" t="s">
        <v>56</v>
      </c>
      <c r="M19" s="16" t="s">
        <v>130</v>
      </c>
      <c r="N19" s="14" t="s">
        <v>131</v>
      </c>
      <c r="O19" s="20"/>
    </row>
    <row r="20" customFormat="false" ht="30" hidden="false" customHeight="true" outlineLevel="0" collapsed="false">
      <c r="A20" s="13" t="n">
        <v>16</v>
      </c>
      <c r="B20" s="14" t="s">
        <v>132</v>
      </c>
      <c r="C20" s="15" t="s">
        <v>87</v>
      </c>
      <c r="D20" s="14" t="s">
        <v>133</v>
      </c>
      <c r="E20" s="16" t="s">
        <v>134</v>
      </c>
      <c r="F20" s="15" t="s">
        <v>22</v>
      </c>
      <c r="G20" s="17"/>
      <c r="H20" s="17"/>
      <c r="I20" s="17"/>
      <c r="J20" s="18" t="str">
        <f aca="false">IFERROR(IF($F20="이하",($G20-$H20)/$G20,IF($F20="이상",($H20-$G20)/$G20,"")),"")</f>
        <v/>
      </c>
      <c r="K20" s="19" t="str">
        <f aca="false">IF($F20="양부",IF($I20="","",$I20),IF(OR($G20="",$H20=""),"",IF($F20="이하",IF($H20&lt;=$G20,"합격","불합격"),IF($F20="이상",IF($H20&gt;=$G20,"합격","불합격"),""))))</f>
        <v/>
      </c>
      <c r="L20" s="16" t="s">
        <v>56</v>
      </c>
      <c r="M20" s="16" t="s">
        <v>135</v>
      </c>
      <c r="N20" s="16" t="s">
        <v>136</v>
      </c>
      <c r="O20" s="20"/>
    </row>
    <row r="21" customFormat="false" ht="30" hidden="false" customHeight="true" outlineLevel="0" collapsed="false">
      <c r="A21" s="13" t="n">
        <v>17</v>
      </c>
      <c r="B21" s="14" t="s">
        <v>137</v>
      </c>
      <c r="C21" s="21" t="s">
        <v>60</v>
      </c>
      <c r="D21" s="14" t="s">
        <v>138</v>
      </c>
      <c r="E21" s="16" t="s">
        <v>109</v>
      </c>
      <c r="F21" s="15" t="s">
        <v>18</v>
      </c>
      <c r="G21" s="17"/>
      <c r="H21" s="17"/>
      <c r="I21" s="17"/>
      <c r="J21" s="18" t="str">
        <f aca="false">IFERROR(IF($F21="이하",($G21-$H21)/$G21,IF($F21="이상",($H21-$G21)/$G21,"")),"")</f>
        <v/>
      </c>
      <c r="K21" s="19" t="str">
        <f aca="false">IF($F21="양부",IF($I21="","",$I21),IF(OR($G21="",$H21=""),"",IF($F21="이하",IF($H21&lt;=$G21,"합격","불합격"),IF($F21="이상",IF($H21&gt;=$G21,"합격","불합격"),""))))</f>
        <v/>
      </c>
      <c r="L21" s="16" t="s">
        <v>56</v>
      </c>
      <c r="M21" s="16" t="s">
        <v>139</v>
      </c>
      <c r="N21" s="16" t="s">
        <v>140</v>
      </c>
      <c r="O21" s="20"/>
    </row>
    <row r="22" customFormat="false" ht="30" hidden="false" customHeight="true" outlineLevel="0" collapsed="false">
      <c r="A22" s="13" t="n">
        <v>18</v>
      </c>
      <c r="B22" s="14" t="s">
        <v>141</v>
      </c>
      <c r="C22" s="21" t="s">
        <v>60</v>
      </c>
      <c r="D22" s="14" t="s">
        <v>142</v>
      </c>
      <c r="E22" s="16" t="s">
        <v>143</v>
      </c>
      <c r="F22" s="15" t="s">
        <v>20</v>
      </c>
      <c r="G22" s="17"/>
      <c r="H22" s="17"/>
      <c r="I22" s="17"/>
      <c r="J22" s="18" t="str">
        <f aca="false">IFERROR(IF($F22="이하",($G22-$H22)/$G22,IF($F22="이상",($H22-$G22)/$G22,"")),"")</f>
        <v/>
      </c>
      <c r="K22" s="19" t="str">
        <f aca="false">IF($F22="양부",IF($I22="","",$I22),IF(OR($G22="",$H22=""),"",IF($F22="이하",IF($H22&lt;=$G22,"합격","불합격"),IF($F22="이상",IF($H22&gt;=$G22,"합격","불합격"),""))))</f>
        <v/>
      </c>
      <c r="L22" s="14" t="s">
        <v>144</v>
      </c>
      <c r="M22" s="14" t="s">
        <v>145</v>
      </c>
      <c r="N22" s="16" t="s">
        <v>146</v>
      </c>
      <c r="O22" s="20"/>
    </row>
    <row r="23" customFormat="false" ht="30" hidden="false" customHeight="true" outlineLevel="0" collapsed="false">
      <c r="A23" s="13" t="n">
        <v>19</v>
      </c>
      <c r="B23" s="14" t="s">
        <v>147</v>
      </c>
      <c r="C23" s="15" t="s">
        <v>87</v>
      </c>
      <c r="D23" s="14" t="s">
        <v>148</v>
      </c>
      <c r="E23" s="16" t="s">
        <v>149</v>
      </c>
      <c r="F23" s="15" t="s">
        <v>22</v>
      </c>
      <c r="G23" s="17"/>
      <c r="H23" s="17"/>
      <c r="I23" s="17"/>
      <c r="J23" s="18" t="str">
        <f aca="false">IFERROR(IF($F23="이하",($G23-$H23)/$G23,IF($F23="이상",($H23-$G23)/$G23,"")),"")</f>
        <v/>
      </c>
      <c r="K23" s="19" t="str">
        <f aca="false">IF($F23="양부",IF($I23="","",$I23),IF(OR($G23="",$H23=""),"",IF($F23="이하",IF($H23&lt;=$G23,"합격","불합격"),IF($F23="이상",IF($H23&gt;=$G23,"합격","불합격"),""))))</f>
        <v/>
      </c>
      <c r="L23" s="16" t="s">
        <v>56</v>
      </c>
      <c r="M23" s="16" t="s">
        <v>150</v>
      </c>
      <c r="N23" s="14" t="s">
        <v>151</v>
      </c>
      <c r="O23" s="20"/>
    </row>
    <row r="24" customFormat="false" ht="30" hidden="false" customHeight="true" outlineLevel="0" collapsed="false">
      <c r="A24" s="13" t="n">
        <v>20</v>
      </c>
      <c r="B24" s="14" t="s">
        <v>152</v>
      </c>
      <c r="C24" s="15" t="s">
        <v>87</v>
      </c>
      <c r="D24" s="14" t="s">
        <v>153</v>
      </c>
      <c r="E24" s="16" t="s">
        <v>154</v>
      </c>
      <c r="F24" s="15" t="s">
        <v>22</v>
      </c>
      <c r="G24" s="17"/>
      <c r="H24" s="17"/>
      <c r="I24" s="17"/>
      <c r="J24" s="18" t="str">
        <f aca="false">IFERROR(IF($F24="이하",($G24-$H24)/$G24,IF($F24="이상",($H24-$G24)/$G24,"")),"")</f>
        <v/>
      </c>
      <c r="K24" s="19" t="str">
        <f aca="false">IF($F24="양부",IF($I24="","",$I24),IF(OR($G24="",$H24=""),"",IF($F24="이하",IF($H24&lt;=$G24,"합격","불합격"),IF($F24="이상",IF($H24&gt;=$G24,"합격","불합격"),""))))</f>
        <v/>
      </c>
      <c r="L24" s="16" t="s">
        <v>56</v>
      </c>
      <c r="M24" s="14" t="s">
        <v>155</v>
      </c>
      <c r="N24" s="14" t="s">
        <v>156</v>
      </c>
      <c r="O24" s="20"/>
    </row>
    <row r="25" customFormat="false" ht="30" hidden="false" customHeight="true" outlineLevel="0" collapsed="false">
      <c r="A25" s="13" t="n">
        <v>21</v>
      </c>
      <c r="B25" s="14" t="s">
        <v>157</v>
      </c>
      <c r="C25" s="15" t="s">
        <v>87</v>
      </c>
      <c r="D25" s="14" t="s">
        <v>158</v>
      </c>
      <c r="E25" s="16" t="s">
        <v>159</v>
      </c>
      <c r="F25" s="15" t="s">
        <v>22</v>
      </c>
      <c r="G25" s="17"/>
      <c r="H25" s="17"/>
      <c r="I25" s="17"/>
      <c r="J25" s="18" t="str">
        <f aca="false">IFERROR(IF($F25="이하",($G25-$H25)/$G25,IF($F25="이상",($H25-$G25)/$G25,"")),"")</f>
        <v/>
      </c>
      <c r="K25" s="19" t="str">
        <f aca="false">IF($F25="양부",IF($I25="","",$I25),IF(OR($G25="",$H25=""),"",IF($F25="이하",IF($H25&lt;=$G25,"합격","불합격"),IF($F25="이상",IF($H25&gt;=$G25,"합격","불합격"),""))))</f>
        <v/>
      </c>
      <c r="L25" s="16" t="s">
        <v>56</v>
      </c>
      <c r="M25" s="14" t="s">
        <v>160</v>
      </c>
      <c r="N25" s="14" t="s">
        <v>161</v>
      </c>
      <c r="O25" s="20"/>
    </row>
    <row r="26" customFormat="false" ht="30" hidden="false" customHeight="true" outlineLevel="0" collapsed="false">
      <c r="A26" s="13" t="n">
        <v>22</v>
      </c>
      <c r="B26" s="14" t="s">
        <v>162</v>
      </c>
      <c r="C26" s="15" t="s">
        <v>87</v>
      </c>
      <c r="D26" s="14" t="s">
        <v>163</v>
      </c>
      <c r="E26" s="16" t="s">
        <v>164</v>
      </c>
      <c r="F26" s="15" t="s">
        <v>22</v>
      </c>
      <c r="G26" s="17"/>
      <c r="H26" s="17"/>
      <c r="I26" s="17"/>
      <c r="J26" s="18" t="str">
        <f aca="false">IFERROR(IF($F26="이하",($G26-$H26)/$G26,IF($F26="이상",($H26-$G26)/$G26,"")),"")</f>
        <v/>
      </c>
      <c r="K26" s="19" t="str">
        <f aca="false">IF($F26="양부",IF($I26="","",$I26),IF(OR($G26="",$H26=""),"",IF($F26="이하",IF($H26&lt;=$G26,"합격","불합격"),IF($F26="이상",IF($H26&gt;=$G26,"합격","불합격"),""))))</f>
        <v/>
      </c>
      <c r="L26" s="16" t="s">
        <v>56</v>
      </c>
      <c r="M26" s="14" t="s">
        <v>165</v>
      </c>
      <c r="N26" s="14" t="s">
        <v>166</v>
      </c>
      <c r="O26" s="20"/>
    </row>
    <row r="27" customFormat="false" ht="30" hidden="false" customHeight="true" outlineLevel="0" collapsed="false">
      <c r="A27" s="13" t="n">
        <v>23</v>
      </c>
      <c r="B27" s="14" t="s">
        <v>167</v>
      </c>
      <c r="C27" s="15" t="s">
        <v>87</v>
      </c>
      <c r="D27" s="14" t="s">
        <v>168</v>
      </c>
      <c r="E27" s="14" t="s">
        <v>169</v>
      </c>
      <c r="F27" s="15" t="s">
        <v>22</v>
      </c>
      <c r="G27" s="17"/>
      <c r="H27" s="17"/>
      <c r="I27" s="17"/>
      <c r="J27" s="18" t="str">
        <f aca="false">IFERROR(IF($F27="이하",($G27-$H27)/$G27,IF($F27="이상",($H27-$G27)/$G27,"")),"")</f>
        <v/>
      </c>
      <c r="K27" s="19" t="str">
        <f aca="false">IF($F27="양부",IF($I27="","",$I27),IF(OR($G27="",$H27=""),"",IF($F27="이하",IF($H27&lt;=$G27,"합격","불합격"),IF($F27="이상",IF($H27&gt;=$G27,"합격","불합격"),""))))</f>
        <v/>
      </c>
      <c r="L27" s="16" t="s">
        <v>56</v>
      </c>
      <c r="M27" s="14" t="s">
        <v>170</v>
      </c>
      <c r="N27" s="16" t="s">
        <v>171</v>
      </c>
      <c r="O27" s="20"/>
    </row>
    <row r="28" customFormat="false" ht="30" hidden="false" customHeight="true" outlineLevel="0" collapsed="false">
      <c r="A28" s="13" t="n">
        <v>24</v>
      </c>
      <c r="B28" s="14" t="s">
        <v>172</v>
      </c>
      <c r="C28" s="15" t="s">
        <v>87</v>
      </c>
      <c r="D28" s="14" t="s">
        <v>173</v>
      </c>
      <c r="E28" s="16" t="s">
        <v>174</v>
      </c>
      <c r="F28" s="15" t="s">
        <v>22</v>
      </c>
      <c r="G28" s="17"/>
      <c r="H28" s="17"/>
      <c r="I28" s="17"/>
      <c r="J28" s="18" t="str">
        <f aca="false">IFERROR(IF($F28="이하",($G28-$H28)/$G28,IF($F28="이상",($H28-$G28)/$G28,"")),"")</f>
        <v/>
      </c>
      <c r="K28" s="19" t="str">
        <f aca="false">IF($F28="양부",IF($I28="","",$I28),IF(OR($G28="",$H28=""),"",IF($F28="이하",IF($H28&lt;=$G28,"합격","불합격"),IF($F28="이상",IF($H28&gt;=$G28,"합격","불합격"),""))))</f>
        <v/>
      </c>
      <c r="L28" s="16" t="s">
        <v>56</v>
      </c>
      <c r="M28" s="14" t="s">
        <v>175</v>
      </c>
      <c r="N28" s="14" t="s">
        <v>156</v>
      </c>
      <c r="O28" s="20"/>
    </row>
    <row r="29" customFormat="false" ht="30" hidden="false" customHeight="true" outlineLevel="0" collapsed="false">
      <c r="A29" s="13" t="n">
        <v>25</v>
      </c>
      <c r="B29" s="14" t="s">
        <v>176</v>
      </c>
      <c r="C29" s="15" t="s">
        <v>87</v>
      </c>
      <c r="D29" s="14" t="s">
        <v>177</v>
      </c>
      <c r="E29" s="14" t="s">
        <v>178</v>
      </c>
      <c r="F29" s="15" t="s">
        <v>22</v>
      </c>
      <c r="G29" s="17"/>
      <c r="H29" s="17"/>
      <c r="I29" s="17"/>
      <c r="J29" s="18" t="str">
        <f aca="false">IFERROR(IF($F29="이하",($G29-$H29)/$G29,IF($F29="이상",($H29-$G29)/$G29,"")),"")</f>
        <v/>
      </c>
      <c r="K29" s="19" t="str">
        <f aca="false">IF($F29="양부",IF($I29="","",$I29),IF(OR($G29="",$H29=""),"",IF($F29="이하",IF($H29&lt;=$G29,"합격","불합격"),IF($F29="이상",IF($H29&gt;=$G29,"합격","불합격"),""))))</f>
        <v/>
      </c>
      <c r="L29" s="16" t="s">
        <v>56</v>
      </c>
      <c r="M29" s="14" t="s">
        <v>179</v>
      </c>
      <c r="N29" s="14" t="s">
        <v>180</v>
      </c>
      <c r="O29" s="20"/>
    </row>
    <row r="30" customFormat="false" ht="30" hidden="false" customHeight="true" outlineLevel="0" collapsed="false">
      <c r="A30" s="13" t="n">
        <v>26</v>
      </c>
      <c r="B30" s="14" t="s">
        <v>181</v>
      </c>
      <c r="C30" s="15" t="s">
        <v>87</v>
      </c>
      <c r="D30" s="14" t="s">
        <v>182</v>
      </c>
      <c r="E30" s="14" t="s">
        <v>178</v>
      </c>
      <c r="F30" s="15" t="s">
        <v>22</v>
      </c>
      <c r="G30" s="17"/>
      <c r="H30" s="17"/>
      <c r="I30" s="17"/>
      <c r="J30" s="18" t="str">
        <f aca="false">IFERROR(IF($F30="이하",($G30-$H30)/$G30,IF($F30="이상",($H30-$G30)/$G30,"")),"")</f>
        <v/>
      </c>
      <c r="K30" s="19" t="str">
        <f aca="false">IF($F30="양부",IF($I30="","",$I30),IF(OR($G30="",$H30=""),"",IF($F30="이하",IF($H30&lt;=$G30,"합격","불합격"),IF($F30="이상",IF($H30&gt;=$G30,"합격","불합격"),""))))</f>
        <v/>
      </c>
      <c r="L30" s="16" t="s">
        <v>56</v>
      </c>
      <c r="M30" s="16" t="s">
        <v>183</v>
      </c>
      <c r="N30" s="16" t="s">
        <v>184</v>
      </c>
      <c r="O30" s="20"/>
    </row>
    <row r="31" customFormat="false" ht="30" hidden="false" customHeight="true" outlineLevel="0" collapsed="false">
      <c r="A31" s="13" t="n">
        <v>27</v>
      </c>
      <c r="B31" s="14" t="s">
        <v>185</v>
      </c>
      <c r="C31" s="15" t="s">
        <v>87</v>
      </c>
      <c r="D31" s="14" t="s">
        <v>186</v>
      </c>
      <c r="E31" s="14" t="s">
        <v>178</v>
      </c>
      <c r="F31" s="15" t="s">
        <v>22</v>
      </c>
      <c r="G31" s="17"/>
      <c r="H31" s="17"/>
      <c r="I31" s="17"/>
      <c r="J31" s="18" t="str">
        <f aca="false">IFERROR(IF($F31="이하",($G31-$H31)/$G31,IF($F31="이상",($H31-$G31)/$G31,"")),"")</f>
        <v/>
      </c>
      <c r="K31" s="19" t="str">
        <f aca="false">IF($F31="양부",IF($I31="","",$I31),IF(OR($G31="",$H31=""),"",IF($F31="이하",IF($H31&lt;=$G31,"합격","불합격"),IF($F31="이상",IF($H31&gt;=$G31,"합격","불합격"),""))))</f>
        <v/>
      </c>
      <c r="L31" s="16" t="s">
        <v>56</v>
      </c>
      <c r="M31" s="14" t="s">
        <v>187</v>
      </c>
      <c r="N31" s="16" t="s">
        <v>188</v>
      </c>
      <c r="O31" s="20"/>
    </row>
    <row r="32" customFormat="false" ht="30" hidden="false" customHeight="true" outlineLevel="0" collapsed="false">
      <c r="A32" s="13" t="n">
        <v>28</v>
      </c>
      <c r="B32" s="14" t="s">
        <v>189</v>
      </c>
      <c r="C32" s="21" t="s">
        <v>60</v>
      </c>
      <c r="D32" s="14" t="s">
        <v>190</v>
      </c>
      <c r="E32" s="16" t="s">
        <v>191</v>
      </c>
      <c r="F32" s="15" t="s">
        <v>22</v>
      </c>
      <c r="G32" s="17"/>
      <c r="H32" s="17"/>
      <c r="I32" s="17"/>
      <c r="J32" s="18" t="str">
        <f aca="false">IFERROR(IF($F32="이하",($G32-$H32)/$G32,IF($F32="이상",($H32-$G32)/$G32,"")),"")</f>
        <v/>
      </c>
      <c r="K32" s="19" t="str">
        <f aca="false">IF($F32="양부",IF($I32="","",$I32),IF(OR($G32="",$H32=""),"",IF($F32="이하",IF($H32&lt;=$G32,"합격","불합격"),IF($F32="이상",IF($H32&gt;=$G32,"합격","불합격"),""))))</f>
        <v/>
      </c>
      <c r="L32" s="16" t="s">
        <v>56</v>
      </c>
      <c r="M32" s="16" t="s">
        <v>192</v>
      </c>
      <c r="N32" s="14" t="s">
        <v>193</v>
      </c>
      <c r="O32" s="20"/>
    </row>
    <row r="33" customFormat="false" ht="30" hidden="false" customHeight="true" outlineLevel="0" collapsed="false">
      <c r="A33" s="13" t="n">
        <v>29</v>
      </c>
      <c r="B33" s="14" t="s">
        <v>194</v>
      </c>
      <c r="C33" s="21" t="s">
        <v>60</v>
      </c>
      <c r="D33" s="14" t="s">
        <v>195</v>
      </c>
      <c r="E33" s="16" t="s">
        <v>191</v>
      </c>
      <c r="F33" s="15" t="s">
        <v>22</v>
      </c>
      <c r="G33" s="17"/>
      <c r="H33" s="17"/>
      <c r="I33" s="17"/>
      <c r="J33" s="18" t="str">
        <f aca="false">IFERROR(IF($F33="이하",($G33-$H33)/$G33,IF($F33="이상",($H33-$G33)/$G33,"")),"")</f>
        <v/>
      </c>
      <c r="K33" s="19" t="str">
        <f aca="false">IF($F33="양부",IF($I33="","",$I33),IF(OR($G33="",$H33=""),"",IF($F33="이하",IF($H33&lt;=$G33,"합격","불합격"),IF($F33="이상",IF($H33&gt;=$G33,"합격","불합격"),""))))</f>
        <v/>
      </c>
      <c r="L33" s="16" t="s">
        <v>56</v>
      </c>
      <c r="M33" s="16" t="s">
        <v>196</v>
      </c>
      <c r="N33" s="14" t="s">
        <v>197</v>
      </c>
      <c r="O33" s="20"/>
    </row>
    <row r="34" customFormat="false" ht="30" hidden="false" customHeight="true" outlineLevel="0" collapsed="false">
      <c r="A34" s="13" t="n">
        <v>30</v>
      </c>
      <c r="B34" s="14" t="s">
        <v>198</v>
      </c>
      <c r="C34" s="21" t="s">
        <v>60</v>
      </c>
      <c r="D34" s="14" t="s">
        <v>199</v>
      </c>
      <c r="E34" s="16" t="s">
        <v>200</v>
      </c>
      <c r="F34" s="15" t="s">
        <v>20</v>
      </c>
      <c r="G34" s="17"/>
      <c r="H34" s="17"/>
      <c r="I34" s="17"/>
      <c r="J34" s="18" t="str">
        <f aca="false">IFERROR(IF($F34="이하",($G34-$H34)/$G34,IF($F34="이상",($H34-$G34)/$G34,"")),"")</f>
        <v/>
      </c>
      <c r="K34" s="19" t="str">
        <f aca="false">IF($F34="양부",IF($I34="","",$I34),IF(OR($G34="",$H34=""),"",IF($F34="이하",IF($H34&lt;=$G34,"합격","불합격"),IF($F34="이상",IF($H34&gt;=$G34,"합격","불합격"),""))))</f>
        <v/>
      </c>
      <c r="L34" s="16" t="s">
        <v>56</v>
      </c>
      <c r="M34" s="16" t="s">
        <v>201</v>
      </c>
      <c r="N34" s="16" t="s">
        <v>202</v>
      </c>
      <c r="O34" s="20"/>
    </row>
    <row r="35" customFormat="false" ht="30" hidden="false" customHeight="true" outlineLevel="0" collapsed="false">
      <c r="A35" s="13" t="n">
        <v>31</v>
      </c>
      <c r="B35" s="14" t="s">
        <v>203</v>
      </c>
      <c r="C35" s="21" t="s">
        <v>60</v>
      </c>
      <c r="D35" s="14" t="s">
        <v>204</v>
      </c>
      <c r="E35" s="16" t="s">
        <v>205</v>
      </c>
      <c r="F35" s="15" t="s">
        <v>22</v>
      </c>
      <c r="G35" s="17"/>
      <c r="H35" s="17"/>
      <c r="I35" s="17"/>
      <c r="J35" s="18" t="str">
        <f aca="false">IFERROR(IF($F35="이하",($G35-$H35)/$G35,IF($F35="이상",($H35-$G35)/$G35,"")),"")</f>
        <v/>
      </c>
      <c r="K35" s="19" t="str">
        <f aca="false">IF($F35="양부",IF($I35="","",$I35),IF(OR($G35="",$H35=""),"",IF($F35="이하",IF($H35&lt;=$G35,"합격","불합격"),IF($F35="이상",IF($H35&gt;=$G35,"합격","불합격"),""))))</f>
        <v/>
      </c>
      <c r="L35" s="16" t="s">
        <v>56</v>
      </c>
      <c r="M35" s="16" t="s">
        <v>206</v>
      </c>
      <c r="N35" s="16" t="s">
        <v>207</v>
      </c>
      <c r="O35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6"/>
  </cols>
  <sheetData>
    <row r="1" customFormat="false" ht="19.4" hidden="false" customHeight="false" outlineLevel="0" collapsed="false">
      <c r="A1" s="22" t="s">
        <v>208</v>
      </c>
    </row>
    <row r="2" customFormat="false" ht="15" hidden="false" customHeight="false" outlineLevel="0" collapsed="false">
      <c r="A2" s="23" t="s">
        <v>209</v>
      </c>
    </row>
    <row r="4" customFormat="false" ht="15" hidden="false" customHeight="false" outlineLevel="0" collapsed="false">
      <c r="A4" s="12" t="s">
        <v>210</v>
      </c>
      <c r="B4" s="24" t="s">
        <v>211</v>
      </c>
      <c r="C4" s="24" t="s">
        <v>212</v>
      </c>
      <c r="D4" s="12" t="s">
        <v>213</v>
      </c>
      <c r="E4" s="24" t="s">
        <v>214</v>
      </c>
      <c r="F4" s="24" t="s">
        <v>215</v>
      </c>
    </row>
    <row r="5" customFormat="false" ht="15" hidden="false" customHeight="false" outlineLevel="0" collapsed="false">
      <c r="A5" s="25" t="n">
        <v>0.05</v>
      </c>
      <c r="B5" s="26" t="n">
        <v>0.03</v>
      </c>
      <c r="C5" s="26" t="n">
        <v>0</v>
      </c>
      <c r="D5" s="27"/>
      <c r="E5" s="28" t="n">
        <f aca="false">IFERROR($B5*$D5,"")</f>
        <v>0</v>
      </c>
      <c r="F5" s="28" t="n">
        <f aca="false">IFERROR($C5*$D5,"")</f>
        <v>0</v>
      </c>
    </row>
    <row r="6" customFormat="false" ht="15" hidden="false" customHeight="false" outlineLevel="0" collapsed="false">
      <c r="A6" s="25" t="n">
        <v>0.1</v>
      </c>
      <c r="B6" s="26" t="n">
        <v>0.06</v>
      </c>
      <c r="C6" s="26" t="n">
        <v>0.04</v>
      </c>
      <c r="D6" s="27"/>
      <c r="E6" s="28" t="n">
        <f aca="false">IFERROR($B6*$D6,"")</f>
        <v>0</v>
      </c>
      <c r="F6" s="28" t="n">
        <f aca="false">IFERROR($C6*$D6,"")</f>
        <v>0</v>
      </c>
    </row>
    <row r="7" customFormat="false" ht="15" hidden="false" customHeight="false" outlineLevel="0" collapsed="false">
      <c r="A7" s="25" t="n">
        <v>0.2</v>
      </c>
      <c r="B7" s="26" t="n">
        <v>0.13</v>
      </c>
      <c r="C7" s="26" t="n">
        <v>0.05</v>
      </c>
      <c r="D7" s="27"/>
      <c r="E7" s="28" t="n">
        <f aca="false">IFERROR($B7*$D7,"")</f>
        <v>0</v>
      </c>
      <c r="F7" s="28" t="n">
        <f aca="false">IFERROR($C7*$D7,"")</f>
        <v>0</v>
      </c>
    </row>
    <row r="8" customFormat="false" ht="15" hidden="false" customHeight="false" outlineLevel="0" collapsed="false">
      <c r="A8" s="25" t="n">
        <v>0.3</v>
      </c>
      <c r="B8" s="26" t="n">
        <v>0.1</v>
      </c>
      <c r="C8" s="26" t="n">
        <v>0.12</v>
      </c>
      <c r="D8" s="27"/>
      <c r="E8" s="28" t="n">
        <f aca="false">IFERROR($B8*$D8,"")</f>
        <v>0</v>
      </c>
      <c r="F8" s="28" t="n">
        <f aca="false">IFERROR($C8*$D8,"")</f>
        <v>0</v>
      </c>
    </row>
    <row r="9" customFormat="false" ht="15" hidden="false" customHeight="false" outlineLevel="0" collapsed="false">
      <c r="A9" s="25" t="n">
        <v>0.5</v>
      </c>
      <c r="B9" s="26" t="n">
        <v>0.48</v>
      </c>
      <c r="C9" s="26" t="n">
        <v>0.21</v>
      </c>
      <c r="D9" s="27"/>
      <c r="E9" s="28" t="n">
        <f aca="false">IFERROR($B9*$D9,"")</f>
        <v>0</v>
      </c>
      <c r="F9" s="28" t="n">
        <f aca="false">IFERROR($C9*$D9,"")</f>
        <v>0</v>
      </c>
    </row>
    <row r="10" customFormat="false" ht="15" hidden="false" customHeight="false" outlineLevel="0" collapsed="false">
      <c r="A10" s="25" t="n">
        <v>0.75</v>
      </c>
      <c r="B10" s="26" t="n">
        <v>0</v>
      </c>
      <c r="C10" s="26" t="n">
        <v>0.53</v>
      </c>
      <c r="D10" s="27"/>
      <c r="E10" s="28" t="n">
        <f aca="false">IFERROR($B10*$D10,"")</f>
        <v>0</v>
      </c>
      <c r="F10" s="28" t="n">
        <f aca="false">IFERROR($C10*$D10,"")</f>
        <v>0</v>
      </c>
    </row>
    <row r="11" customFormat="false" ht="15" hidden="false" customHeight="false" outlineLevel="0" collapsed="false">
      <c r="A11" s="25" t="n">
        <v>1</v>
      </c>
      <c r="B11" s="26" t="n">
        <v>0.2</v>
      </c>
      <c r="C11" s="26" t="n">
        <v>0.05</v>
      </c>
      <c r="D11" s="27"/>
      <c r="E11" s="28" t="n">
        <f aca="false">IFERROR($B11*$D11,"")</f>
        <v>0</v>
      </c>
      <c r="F11" s="28" t="n">
        <f aca="false">IFERROR($C11*$D11,"")</f>
        <v>0</v>
      </c>
    </row>
    <row r="12" customFormat="false" ht="15" hidden="false" customHeight="false" outlineLevel="0" collapsed="false">
      <c r="A12" s="3" t="s">
        <v>216</v>
      </c>
      <c r="B12" s="29" t="n">
        <f aca="false">SUM(B5:B11)</f>
        <v>1</v>
      </c>
      <c r="C12" s="29" t="n">
        <f aca="false">SUM(C5:C11)</f>
        <v>1</v>
      </c>
    </row>
    <row r="13" customFormat="false" ht="15" hidden="false" customHeight="false" outlineLevel="0" collapsed="false">
      <c r="A13" s="30" t="s">
        <v>217</v>
      </c>
      <c r="B13" s="31" t="n">
        <f aca="false">IFERROR(SUM(E5:E11),"")</f>
        <v>0</v>
      </c>
      <c r="C13" s="31" t="n">
        <f aca="false">IFERROR(SUM(F5:F11),"")</f>
        <v>0</v>
      </c>
      <c r="D13" s="32" t="s">
        <v>218</v>
      </c>
    </row>
    <row r="16" customFormat="false" ht="15" hidden="false" customHeight="false" outlineLevel="0" collapsed="false">
      <c r="A16" s="33" t="s">
        <v>219</v>
      </c>
    </row>
    <row r="17" customFormat="false" ht="15" hidden="false" customHeight="false" outlineLevel="0" collapsed="false">
      <c r="A17" s="34" t="s">
        <v>220</v>
      </c>
    </row>
    <row r="18" customFormat="false" ht="15" hidden="false" customHeight="false" outlineLevel="0" collapsed="false">
      <c r="A18" s="35" t="s">
        <v>221</v>
      </c>
    </row>
    <row r="19" customFormat="false" ht="15" hidden="false" customHeight="false" outlineLevel="0" collapsed="false">
      <c r="A19" s="34" t="s">
        <v>222</v>
      </c>
    </row>
    <row r="20" customFormat="false" ht="15" hidden="false" customHeight="false" outlineLevel="0" collapsed="false">
      <c r="A20" s="35" t="s">
        <v>223</v>
      </c>
    </row>
    <row r="21" customFormat="false" ht="15" hidden="false" customHeight="false" outlineLevel="0" collapsed="false">
      <c r="A21" s="35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22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2" min="12" style="0" width="40"/>
  </cols>
  <sheetData>
    <row r="1" customFormat="false" ht="17.35" hidden="false" customHeight="false" outlineLevel="0" collapsed="false">
      <c r="A1" s="22" t="s">
        <v>225</v>
      </c>
    </row>
    <row r="2" customFormat="false" ht="15" hidden="false" customHeight="false" outlineLevel="0" collapsed="false">
      <c r="A2" s="11" t="s">
        <v>226</v>
      </c>
    </row>
    <row r="4" customFormat="false" ht="15" hidden="false" customHeight="false" outlineLevel="0" collapsed="false">
      <c r="A4" s="12" t="s">
        <v>227</v>
      </c>
      <c r="B4" s="12" t="s">
        <v>228</v>
      </c>
      <c r="C4" s="12" t="s">
        <v>229</v>
      </c>
      <c r="D4" s="24" t="s">
        <v>230</v>
      </c>
      <c r="E4" s="24" t="s">
        <v>231</v>
      </c>
      <c r="F4" s="12" t="s">
        <v>232</v>
      </c>
      <c r="G4" s="12" t="s">
        <v>233</v>
      </c>
      <c r="H4" s="12" t="s">
        <v>234</v>
      </c>
      <c r="I4" s="12" t="s">
        <v>235</v>
      </c>
      <c r="J4" s="12" t="s">
        <v>236</v>
      </c>
      <c r="K4" s="12" t="s">
        <v>237</v>
      </c>
      <c r="L4" s="12" t="s">
        <v>238</v>
      </c>
    </row>
    <row r="5" customFormat="false" ht="15" hidden="false" customHeight="false" outlineLevel="0" collapsed="false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</row>
    <row r="6" customFormat="false" ht="15" hidden="false" customHeight="false" outlineLevel="0" collapsed="false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</row>
    <row r="7" customFormat="false" ht="15" hidden="false" customHeight="false" outlineLevel="0" collapsed="false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</row>
    <row r="8" customFormat="false" ht="15" hidden="false" customHeight="fals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</row>
    <row r="9" customFormat="false" ht="15" hidden="false" customHeight="false" outlineLevel="0" collapsed="false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</row>
    <row r="10" customFormat="false" ht="15" hidden="false" customHeight="false" outlineLevel="0" collapsed="false">
      <c r="A10" s="36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</row>
    <row r="11" customFormat="false" ht="15" hidden="false" customHeight="false" outlineLevel="0" collapsed="false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</row>
    <row r="12" customFormat="false" ht="15" hidden="false" customHeight="false" outlineLevel="0" collapsed="false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</row>
    <row r="13" customFormat="false" ht="15" hidden="false" customHeight="false" outlineLevel="0" collapsed="false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</row>
    <row r="14" customFormat="false" ht="15" hidden="false" customHeight="false" outlineLevel="0" collapsed="false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</row>
    <row r="15" customFormat="false" ht="15" hidden="false" customHeight="false" outlineLevel="0" collapsed="false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</row>
    <row r="16" customFormat="false" ht="15" hidden="false" customHeight="false" outlineLevel="0" collapsed="false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</row>
    <row r="17" customFormat="false" ht="15" hidden="false" customHeight="false" outlineLevel="0" collapsed="false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</row>
    <row r="18" customFormat="false" ht="15" hidden="false" customHeight="false" outlineLevel="0" collapsed="false">
      <c r="A18" s="36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</row>
    <row r="19" customFormat="false" ht="15" hidden="false" customHeight="false" outlineLevel="0" collapsed="false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</row>
    <row r="20" customFormat="false" ht="15" hidden="false" customHeight="false" outlineLevel="0" collapsed="false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</row>
    <row r="21" customFormat="false" ht="15" hidden="false" customHeight="false" outlineLevel="0" collapsed="false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</row>
    <row r="22" customFormat="false" ht="15" hidden="false" customHeight="false" outlineLevel="0" collapsed="false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</row>
    <row r="23" customFormat="false" ht="15" hidden="false" customHeight="false" outlineLevel="0" collapsed="false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</row>
    <row r="24" customFormat="false" ht="15" hidden="false" customHeight="false" outlineLevel="0" collapsed="false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4"/>
  </cols>
  <sheetData>
    <row r="1" customFormat="false" ht="17.35" hidden="false" customHeight="false" outlineLevel="0" collapsed="false">
      <c r="A1" s="22" t="s">
        <v>239</v>
      </c>
    </row>
    <row r="3" customFormat="false" ht="15" hidden="false" customHeight="false" outlineLevel="0" collapsed="false">
      <c r="A3" s="12" t="s">
        <v>45</v>
      </c>
      <c r="B3" s="12" t="s">
        <v>240</v>
      </c>
      <c r="C3" s="12" t="s">
        <v>34</v>
      </c>
      <c r="D3" s="12" t="s">
        <v>241</v>
      </c>
      <c r="E3" s="12" t="s">
        <v>242</v>
      </c>
    </row>
    <row r="4" customFormat="false" ht="15" hidden="false" customHeight="false" outlineLevel="0" collapsed="false">
      <c r="A4" s="37" t="s">
        <v>60</v>
      </c>
      <c r="B4" s="38" t="n">
        <f aca="false">COUNTIF(측정대장!$C$5:$C$35,$A4)</f>
        <v>15</v>
      </c>
      <c r="C4" s="38" t="n">
        <f aca="false">COUNTIFS(측정대장!$C$5:$C$35,$A4,측정대장!$K$5:$K$35,"합격")</f>
        <v>0</v>
      </c>
      <c r="D4" s="38" t="n">
        <f aca="false">COUNTIFS(측정대장!$C$5:$C$35,$A4,측정대장!$K$5:$K$35,"불합격")</f>
        <v>0</v>
      </c>
      <c r="E4" s="38" t="n">
        <f aca="false">$B4-$C4-$D4</f>
        <v>15</v>
      </c>
    </row>
    <row r="5" customFormat="false" ht="15" hidden="false" customHeight="false" outlineLevel="0" collapsed="false">
      <c r="A5" s="39" t="s">
        <v>87</v>
      </c>
      <c r="B5" s="38" t="n">
        <f aca="false">COUNTIF(측정대장!$C$5:$C$35,$A5)</f>
        <v>15</v>
      </c>
      <c r="C5" s="38" t="n">
        <f aca="false">COUNTIFS(측정대장!$C$5:$C$35,$A5,측정대장!$K$5:$K$35,"합격")</f>
        <v>0</v>
      </c>
      <c r="D5" s="38" t="n">
        <f aca="false">COUNTIFS(측정대장!$C$5:$C$35,$A5,측정대장!$K$5:$K$35,"불합격")</f>
        <v>0</v>
      </c>
      <c r="E5" s="38" t="n">
        <f aca="false">$B5-$C5-$D5</f>
        <v>15</v>
      </c>
    </row>
    <row r="6" customFormat="false" ht="15" hidden="false" customHeight="false" outlineLevel="0" collapsed="false">
      <c r="A6" s="39" t="s">
        <v>53</v>
      </c>
      <c r="B6" s="38" t="n">
        <f aca="false">COUNTIF(측정대장!$C$5:$C$35,$A6)</f>
        <v>1</v>
      </c>
      <c r="C6" s="38" t="n">
        <f aca="false">COUNTIFS(측정대장!$C$5:$C$35,$A6,측정대장!$K$5:$K$35,"합격")</f>
        <v>0</v>
      </c>
      <c r="D6" s="38" t="n">
        <f aca="false">COUNTIFS(측정대장!$C$5:$C$35,$A6,측정대장!$K$5:$K$35,"불합격")</f>
        <v>0</v>
      </c>
      <c r="E6" s="38" t="n">
        <f aca="false">$B6-$C6-$D6</f>
        <v>1</v>
      </c>
    </row>
    <row r="8" customFormat="false" ht="15" hidden="false" customHeight="false" outlineLevel="0" collapsed="false">
      <c r="A8" s="40" t="s">
        <v>243</v>
      </c>
    </row>
    <row r="9" customFormat="false" ht="15" hidden="false" customHeight="false" outlineLevel="0" collapsed="false">
      <c r="A9" s="41" t="str">
        <f aca="false">IF(D4&gt;0,"불합격 — 치명결함 발생",IF(B4+B5+B6-C4-C5-C6-D4-D5-D6&gt;0,"미완료 — 미측정 항목 있음",IF(D5+D6&gt;0,"중·경결함 발생 — 합부판정 기준 확인 필요","전 항목 합격")))</f>
        <v>미완료 — 미측정 항목 있음</v>
      </c>
    </row>
    <row r="11" customFormat="false" ht="15" hidden="false" customHeight="false" outlineLevel="0" collapsed="false">
      <c r="A11" s="23" t="s">
        <v>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2026-09-15T02:21:04Z</dcterms:created>
  <dc:creator>openpyxl</dc:creator>
  <dc:description/>
  <dc:language>en-US</dc:language>
  <cp:lastModifiedBy/>
  <dcterms:modified xsi:type="dcterms:W3CDTF">2026-09-15T02:21:04Z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