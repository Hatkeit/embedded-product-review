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prints" sheetId="1" state="visible" r:id="rId1"/>
    <sheet name="V2000" sheetId="2" state="visible" r:id="rId2"/>
    <sheet name="Legend" sheetId="3" state="visible" r:id="rId3"/>
  </sheets>
  <definedNames>
    <definedName name="_xlnm._FilterDatabase" localSheetId="1" hidden="1">'V2000'!$A$5:$M$13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C00000"/>
      <sz val="9"/>
    </font>
    <font>
      <name val="Arial"/>
      <b val="1"/>
      <color rgb="001F3864"/>
      <sz val="14"/>
    </font>
    <font>
      <name val="Arial"/>
      <b val="1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i val="1"/>
      <color rgb="00808080"/>
      <sz val="9"/>
    </font>
    <font>
      <name val="Arial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4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applyAlignment="1" pivotButton="0" quotePrefix="0" xfId="0">
      <alignment horizontal="center" vertical="top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footprint</author>
  </authors>
  <commentList>
    <comment ref="L2" authorId="0" shapeId="0">
      <text>
        <t>벤더 권장랜드는 0.25 x 0.70 (내측 span 4.10). 사내규칙 2(리드/바디 끝 바깥 노출동판 &gt;=0.5)를
충족시키려 토 방향으로만 0.25 연장 -&gt; 0.25 x 0.95. 힐(2.05)·피치(0.5)·패드간 갭(0.25)은 원문 유지.</t>
      </text>
    </comment>
    <comment ref="G3" authorId="0" shapeId="0">
      <text>
        <t>이 데이터시트에는 권장 랜드패턴이 없습니다.
드릴 = 리드경 0.8 + 0.30 = 1.10 (IPC-7251 Level B)
랜드 = 드릴 + 0.90 = 2.00 (환형링 0.45/측)
사내 THT 규정이 확정되면 이 두 값을 먼저 재검토해야 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0" customWidth="1" min="3" max="3"/>
    <col width="7" customWidth="1" min="4" max="4"/>
    <col width="11" customWidth="1" min="5" max="5"/>
    <col width="14" customWidth="1" min="6" max="6"/>
    <col width="11" customWidth="1" min="7" max="7"/>
    <col width="14" customWidth="1" min="8" max="8"/>
    <col width="18" customWidth="1" min="9" max="9"/>
    <col width="22" customWidth="1" min="10" max="10"/>
    <col width="14" customWidth="1" min="11" max="11"/>
    <col width="40" customWidth="1" min="12" max="12"/>
    <col width="8" customWidth="1" min="13" max="13"/>
    <col width="12" customWidth="1" min="14" max="14"/>
    <col width="22" customWidth="1" min="15" max="15"/>
    <col width="34" customWidth="1" min="16" max="16"/>
  </cols>
  <sheetData>
    <row r="1">
      <c r="A1" s="1" t="inlineStr">
        <is>
          <t>풋프린트명</t>
        </is>
      </c>
      <c r="B1" s="1" t="inlineStr">
        <is>
          <t>유형</t>
        </is>
      </c>
      <c r="C1" s="1" t="inlineStr">
        <is>
          <t>패키지</t>
        </is>
      </c>
      <c r="D1" s="1" t="inlineStr">
        <is>
          <t>핀수</t>
        </is>
      </c>
      <c r="E1" s="1" t="inlineStr">
        <is>
          <t>피치 (mm)</t>
        </is>
      </c>
      <c r="F1" s="1" t="inlineStr">
        <is>
          <t>랜드 (mm)</t>
        </is>
      </c>
      <c r="G1" s="1" t="inlineStr">
        <is>
          <t>드릴 (mm)</t>
        </is>
      </c>
      <c r="H1" s="1" t="inlineStr">
        <is>
          <t>바디 (mm)</t>
        </is>
      </c>
      <c r="I1" s="1" t="inlineStr">
        <is>
          <t>PLACE_BOUND (mm)</t>
        </is>
      </c>
      <c r="J1" s="1" t="inlineStr">
        <is>
          <t>페이스트</t>
        </is>
      </c>
      <c r="K1" s="1" t="inlineStr">
        <is>
          <t>벤더 권장랜드</t>
        </is>
      </c>
      <c r="L1" s="1" t="inlineStr">
        <is>
          <t>사내규칙 이탈</t>
        </is>
      </c>
      <c r="M1" s="1" t="inlineStr">
        <is>
          <t>DRC</t>
        </is>
      </c>
      <c r="N1" s="1" t="inlineStr">
        <is>
          <t>검증상태</t>
        </is>
      </c>
      <c r="O1" s="1" t="inlineStr">
        <is>
          <t>빌드 스크립트</t>
        </is>
      </c>
      <c r="P1" s="1" t="inlineStr">
        <is>
          <t>데이터시트 근거</t>
        </is>
      </c>
    </row>
    <row r="2" ht="46" customHeight="1">
      <c r="A2" s="2" t="inlineStr">
        <is>
          <t>QFN50P500X500X90-33M</t>
        </is>
      </c>
      <c r="B2" s="2" t="inlineStr">
        <is>
          <t>SMD</t>
        </is>
      </c>
      <c r="C2" s="2" t="inlineStr">
        <is>
          <t>PG-VQFN-32-13</t>
        </is>
      </c>
      <c r="D2" s="2" t="n">
        <v>33</v>
      </c>
      <c r="E2" s="2" t="n">
        <v>0.5</v>
      </c>
      <c r="F2" s="2" t="inlineStr">
        <is>
          <t>0.25 x 0.95 (토 0.25 연장)</t>
        </is>
      </c>
      <c r="G2" s="2" t="inlineStr">
        <is>
          <t>—</t>
        </is>
      </c>
      <c r="H2" s="2" t="inlineStr">
        <is>
          <t>5.0 x 5.0 x 0.9max</t>
        </is>
      </c>
      <c r="I2" s="2" t="inlineStr">
        <is>
          <t>±3.10</t>
        </is>
      </c>
      <c r="J2" s="2" t="inlineStr">
        <is>
          <t>리드=벤더랜드 0.70 오프셋 / 열패드=3x3 윈도우 69.4%</t>
        </is>
      </c>
      <c r="K2" s="2" t="inlineStr">
        <is>
          <t>있음</t>
        </is>
      </c>
      <c r="L2" s="2" t="inlineStr">
        <is>
          <t>규칙2로 토 0.25 연장(벤더 0.70→0.95). 그 외 이탈 없음</t>
        </is>
      </c>
      <c r="M2" s="3" t="inlineStr">
        <is>
          <t>미실행</t>
        </is>
      </c>
      <c r="N2" s="3" t="inlineStr">
        <is>
          <t>미검증</t>
        </is>
      </c>
      <c r="O2" s="2" t="inlineStr">
        <is>
          <t>buildqfn32.il</t>
        </is>
      </c>
      <c r="P2" s="2" t="inlineStr">
        <is>
          <t>SLB9670VQ2.0 DS Rev1.5 Fig.4/Fig.6 (p.15)</t>
        </is>
      </c>
    </row>
    <row r="3" ht="46" customHeight="1">
      <c r="A3" s="2" t="inlineStr">
        <is>
          <t>CAPRR750W80D185H420</t>
        </is>
      </c>
      <c r="B3" s="2" t="inlineStr">
        <is>
          <t>THT</t>
        </is>
      </c>
      <c r="C3" s="2" t="inlineStr">
        <is>
          <t>래디얼 φ18x40, F=7.5</t>
        </is>
      </c>
      <c r="D3" s="2" t="n">
        <v>2</v>
      </c>
      <c r="E3" s="2" t="n">
        <v>7.5</v>
      </c>
      <c r="F3" s="2" t="inlineStr">
        <is>
          <t>φ2.0 (핀1 사각)</t>
        </is>
      </c>
      <c r="G3" s="2" t="n">
        <v>1.1</v>
      </c>
      <c r="H3" s="2" t="inlineStr">
        <is>
          <t>φ18.5max x 42.0max</t>
        </is>
      </c>
      <c r="I3" s="2" t="inlineStr">
        <is>
          <t>±9.35</t>
        </is>
      </c>
      <c r="J3" s="2" t="inlineStr">
        <is>
          <t>없음 (스루홀)</t>
        </is>
      </c>
      <c r="K3" s="2" t="inlineStr">
        <is>
          <t>없음</t>
        </is>
      </c>
      <c r="L3" s="2" t="inlineStr">
        <is>
          <t>THT 규정 부재로 드릴·랜드는 IPC-7251 유도. 실크 REFDES y=9.60 (규칙12의 1.35는 바디에 가림)</t>
        </is>
      </c>
      <c r="M3" s="3" t="inlineStr">
        <is>
          <t>미실행</t>
        </is>
      </c>
      <c r="N3" s="3" t="inlineStr">
        <is>
          <t>미검증</t>
        </is>
      </c>
      <c r="O3" s="2" t="inlineStr">
        <is>
          <t>buildcaprr750.il</t>
        </is>
      </c>
      <c r="P3" s="2" t="inlineStr">
        <is>
          <t>Rubycon ZLJ DS p.2 치수표(φD=18) / p.3 규격표</t>
        </is>
      </c>
    </row>
    <row r="4" ht="46" customHeight="1">
      <c r="A4" s="2" t="inlineStr">
        <is>
          <t>DIOM2014X90M</t>
        </is>
      </c>
      <c r="B4" s="2" t="inlineStr">
        <is>
          <t>SMD</t>
        </is>
      </c>
      <c r="C4" s="2" t="inlineStr">
        <is>
          <t>SOD-323</t>
        </is>
      </c>
      <c r="D4" s="2" t="n">
        <v>2</v>
      </c>
      <c r="E4" s="2" t="inlineStr">
        <is>
          <t>—</t>
        </is>
      </c>
      <c r="F4" s="2" t="inlineStr">
        <is>
          <t>1.13 x 0.50 (토 0.40 연장)</t>
        </is>
      </c>
      <c r="G4" s="2" t="inlineStr">
        <is>
          <t>—</t>
        </is>
      </c>
      <c r="H4" s="2" t="inlineStr">
        <is>
          <t>1.95 x 1.35 x 0.90max</t>
        </is>
      </c>
      <c r="I4" s="2" t="inlineStr">
        <is>
          <t>x ±1.95 / y ±0.775</t>
        </is>
      </c>
      <c r="J4" s="2" t="inlineStr">
        <is>
          <t>벤더랜드 0.73 만큼만 오프셋</t>
        </is>
      </c>
      <c r="K4" s="2" t="inlineStr">
        <is>
          <t>있음</t>
        </is>
      </c>
      <c r="L4" s="2" t="inlineStr">
        <is>
          <t>규칙2로 토 0.40 연장(벤더 0.73→1.13). 규칙4(리드부품=랜드전체) 이탈 — 페이스트는 벤더량 유지</t>
        </is>
      </c>
      <c r="M4" s="3" t="inlineStr">
        <is>
          <t>미실행</t>
        </is>
      </c>
      <c r="N4" s="3" t="inlineStr">
        <is>
          <t>미검증</t>
        </is>
      </c>
      <c r="O4" s="2" t="inlineStr">
        <is>
          <t>builddiom2014.il</t>
        </is>
      </c>
      <c r="P4" s="2" t="inlineStr">
        <is>
          <t>BAS100CS-AU-REV.00S p.4 Dimension / Pad Layout</t>
        </is>
      </c>
    </row>
    <row r="5" ht="46" customHeight="1">
      <c r="A5" s="2" t="inlineStr">
        <is>
          <t>INDM8084X550-8M</t>
        </is>
      </c>
      <c r="B5" s="2" t="inlineStr">
        <is>
          <t>SMD</t>
        </is>
      </c>
      <c r="C5" s="2" t="inlineStr">
        <is>
          <t>Eaton EE5.0 SMT (8핀)</t>
        </is>
      </c>
      <c r="D5" s="2" t="n">
        <v>8</v>
      </c>
      <c r="E5" s="2" t="n">
        <v>1.85</v>
      </c>
      <c r="F5" s="2" t="inlineStr">
        <is>
          <t>소형 1.20 x 1.89 / 탭 3.15 x 3.00</t>
        </is>
      </c>
      <c r="G5" s="2" t="inlineStr">
        <is>
          <t>—</t>
        </is>
      </c>
      <c r="H5" s="2" t="inlineStr">
        <is>
          <t>8.00 x 8.38 x 5.50max</t>
        </is>
      </c>
      <c r="I5" s="2" t="inlineStr">
        <is>
          <t>x ±4.60 / y ±4.79</t>
        </is>
      </c>
      <c r="J5" s="2" t="inlineStr">
        <is>
          <t>벤더랜드(소형 1.2x1.6, 탭 2.7x3.0)만큼만 오프셋</t>
        </is>
      </c>
      <c r="K5" s="2" t="inlineStr">
        <is>
          <t>있음</t>
        </is>
      </c>
      <c r="L5" s="2" t="inlineStr">
        <is>
          <t>규칙2로 토 0.50 연장(소형 1.6→1.89, 탭 2.7→3.15). 규칙4 이탈 — 페이스트는 벤더량 유지. TOP/BOTTOM VIEW 미확정</t>
        </is>
      </c>
      <c r="M5" s="3" t="inlineStr">
        <is>
          <t>미실행</t>
        </is>
      </c>
      <c r="N5" s="3" t="inlineStr">
        <is>
          <t>미검증</t>
        </is>
      </c>
      <c r="O5" s="2" t="inlineStr">
        <is>
          <t>buildindm8084.il</t>
        </is>
      </c>
      <c r="P5" s="2" t="inlineStr">
        <is>
          <t>Eaton ELX1187 p.2 Mechanical / Recommended PCB Layout</t>
        </is>
      </c>
    </row>
    <row r="6" ht="46" customHeight="1">
      <c r="A6" s="2" t="inlineStr">
        <is>
          <t>SOIC127P600X175-9M</t>
        </is>
      </c>
      <c r="B6" s="2" t="inlineStr">
        <is>
          <t>SMD</t>
        </is>
      </c>
      <c r="C6" s="2" t="inlineStr">
        <is>
          <t>S8E (SOIC-8 .150" 노출패드)</t>
        </is>
      </c>
      <c r="D6" s="2" t="n">
        <v>9</v>
      </c>
      <c r="E6" s="2" t="n">
        <v>1.27</v>
      </c>
      <c r="F6" s="2" t="inlineStr">
        <is>
          <t>리드 1.57 x 0.76 / 노출패드 2.26 x 2.99</t>
        </is>
      </c>
      <c r="G6" s="2" t="inlineStr">
        <is>
          <t>—</t>
        </is>
      </c>
      <c r="H6" s="2" t="inlineStr">
        <is>
          <t>3.988 x 5.004 x 1.752max</t>
        </is>
      </c>
      <c r="I6" s="2" t="inlineStr">
        <is>
          <t>x ±3.70 / y ±2.602</t>
        </is>
      </c>
      <c r="J6" s="2" t="inlineStr">
        <is>
          <t>리드=벤더랜드 1.143 오프셋 / 노출패드=2x3 윈도우 70.0%</t>
        </is>
      </c>
      <c r="K6" s="2" t="inlineStr">
        <is>
          <t>있음</t>
        </is>
      </c>
      <c r="L6" s="2" t="inlineStr">
        <is>
          <t>규칙2로 토 0.50 연장(벤더 1.143→1.57). 규칙4 이탈 — 페이스트는 벤더량 유지. 방향은 p.2 TOP VIEW 기준(p.26 기구도면과 90도 다름)</t>
        </is>
      </c>
      <c r="M6" s="3" t="inlineStr">
        <is>
          <t>미실행</t>
        </is>
      </c>
      <c r="N6" s="3" t="inlineStr">
        <is>
          <t>미검증</t>
        </is>
      </c>
      <c r="O6" s="2" t="inlineStr">
        <is>
          <t>buildsoic127.il</t>
        </is>
      </c>
      <c r="P6" s="2" t="inlineStr">
        <is>
          <t>LT8304 DS 8304fa p.2 Pin Config / p.26 Package Description</t>
        </is>
      </c>
    </row>
    <row r="7" ht="46" customHeight="1">
      <c r="A7" s="2" t="inlineStr">
        <is>
          <t>SOP65P490X104-9M</t>
        </is>
      </c>
      <c r="B7" s="2" t="inlineStr">
        <is>
          <t>SMD</t>
        </is>
      </c>
      <c r="C7" s="2" t="inlineStr">
        <is>
          <t>PG-TSSOP-8 (노출다이패드)</t>
        </is>
      </c>
      <c r="D7" s="2" t="n">
        <v>9</v>
      </c>
      <c r="E7" s="2" t="n">
        <v>0.65</v>
      </c>
      <c r="F7" s="2" t="inlineStr">
        <is>
          <t>리드 1.45 x 0.40 / 노출패드 1.75 x 2.05</t>
        </is>
      </c>
      <c r="G7" s="2" t="inlineStr">
        <is>
          <t>—</t>
        </is>
      </c>
      <c r="H7" s="2" t="inlineStr">
        <is>
          <t>3.1 x 3.1 x 1.04max</t>
        </is>
      </c>
      <c r="I7" s="2" t="inlineStr">
        <is>
          <t>x ±3.10 / y ±1.65</t>
        </is>
      </c>
      <c r="J7" s="2" t="inlineStr">
        <is>
          <t>리드=벤더 스텐실 1.3 오프셋 / 노출패드=2x2 창 79.9%</t>
        </is>
      </c>
      <c r="K7" s="2" t="inlineStr">
        <is>
          <t>있음</t>
        </is>
      </c>
      <c r="L7" s="2" t="inlineStr">
        <is>
          <t>규칙2로 토 0.15 연장(벤더 1.3→1.45). 마스크는 규칙6에 따라 데이터시트값(동판+0.05/변) 우선 → 마스크 웹 0.15. 방향은 p.7 Top View 기준</t>
        </is>
      </c>
      <c r="M7" s="3" t="inlineStr">
        <is>
          <t>미실행</t>
        </is>
      </c>
      <c r="N7" s="3" t="inlineStr">
        <is>
          <t>미검증</t>
        </is>
      </c>
      <c r="O7" s="2" t="inlineStr">
        <is>
          <t>buildsop65p490.il</t>
        </is>
      </c>
      <c r="P7" s="2" t="inlineStr">
        <is>
          <t>Infineon 2EDN752x DS Rev2.7 p.7 Pin Config / p.27 outline / p.28 footprint</t>
        </is>
      </c>
    </row>
    <row r="8" ht="46" customHeight="1">
      <c r="A8" s="2" t="inlineStr">
        <is>
          <t>INDC1608X95M</t>
        </is>
      </c>
      <c r="B8" s="2" t="inlineStr">
        <is>
          <t>SMD</t>
        </is>
      </c>
      <c r="C8" s="2" t="inlineStr">
        <is>
          <t>1608 메트릭 / 0603 인치 칩</t>
        </is>
      </c>
      <c r="D8" s="2" t="n">
        <v>2</v>
      </c>
      <c r="E8" s="2" t="inlineStr">
        <is>
          <t>—</t>
        </is>
      </c>
      <c r="F8" s="2" t="inlineStr">
        <is>
          <t>1.03 x 0.70</t>
        </is>
      </c>
      <c r="G8" s="2" t="inlineStr">
        <is>
          <t>—</t>
        </is>
      </c>
      <c r="H8" s="2" t="inlineStr">
        <is>
          <t>1.75 x 0.95 x 0.95max</t>
        </is>
      </c>
      <c r="I8" s="2" t="inlineStr">
        <is>
          <t>x ±1.48 / y ±0.70</t>
        </is>
      </c>
      <c r="J8" s="2" t="inlineStr">
        <is>
          <t>벤더랜드 0.65 오프셋 (규칙4 칩 조항)</t>
        </is>
      </c>
      <c r="K8" s="2" t="inlineStr">
        <is>
          <t>있음</t>
        </is>
      </c>
      <c r="L8" s="2" t="inlineStr">
        <is>
          <t>규칙2로 토 0.505 연장(벤더 0.65→1.03). 이탈 없음. 데이터시트 전면 'Reference Only' 워터마크</t>
        </is>
      </c>
      <c r="M8" s="3" t="inlineStr">
        <is>
          <t>미실행</t>
        </is>
      </c>
      <c r="N8" s="3" t="inlineStr">
        <is>
          <t>미검증</t>
        </is>
      </c>
      <c r="O8" s="2" t="inlineStr">
        <is>
          <t>buildindc1608.il</t>
        </is>
      </c>
      <c r="P8" s="2" t="inlineStr">
        <is>
          <t>Murata JENF243A_0003AM-01 p.5 외형 / p.10 12.1 Land dimensions</t>
        </is>
      </c>
    </row>
    <row r="9" ht="46" customHeight="1">
      <c r="A9" s="2" t="inlineStr">
        <is>
          <t>SOT95P280X145-5M</t>
        </is>
      </c>
      <c r="B9" s="2" t="inlineStr">
        <is>
          <t>SMD</t>
        </is>
      </c>
      <c r="C9" s="2" t="inlineStr">
        <is>
          <t>DBV0005A (SOT-23-5)</t>
        </is>
      </c>
      <c r="D9" s="2" t="n">
        <v>5</v>
      </c>
      <c r="E9" s="2" t="n">
        <v>0.95</v>
      </c>
      <c r="F9" s="2" t="inlineStr">
        <is>
          <t>1.25 x 0.60</t>
        </is>
      </c>
      <c r="G9" s="2" t="inlineStr">
        <is>
          <t>—</t>
        </is>
      </c>
      <c r="H9" s="2" t="inlineStr">
        <is>
          <t>1.75 x 3.05 x 1.45max</t>
        </is>
      </c>
      <c r="I9" s="2" t="inlineStr">
        <is>
          <t>x ±2.10 / y ±1.675</t>
        </is>
      </c>
      <c r="J9" s="2" t="inlineStr">
        <is>
          <t>벤더 스텐실 1.1 오프셋</t>
        </is>
      </c>
      <c r="K9" s="2" t="inlineStr">
        <is>
          <t>있음</t>
        </is>
      </c>
      <c r="L9" s="2" t="inlineStr">
        <is>
          <t>규칙2로 토 0.15 연장(벤더 1.1→1.25). 이탈 없음. 마스크는 규칙6에 따라 데이터시트값(NSMD, 동판+0.07/변) 우선 → 웹 0.21</t>
        </is>
      </c>
      <c r="M9" s="3" t="inlineStr">
        <is>
          <t>미실행</t>
        </is>
      </c>
      <c r="N9" s="3" t="inlineStr">
        <is>
          <t>미검증</t>
        </is>
      </c>
      <c r="O9" s="2" t="inlineStr">
        <is>
          <t>buildsot95p280.il</t>
        </is>
      </c>
      <c r="P9" s="2" t="inlineStr">
        <is>
          <t>TI SLVSE13J p.3 Pin Functions / p.59 Package Outline / p.60 Board Layout / p.61 Stencil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5" t="inlineStr">
        <is>
          <t>※ DRC / 검증상태는 axlDRCUpdate(t) 와 extracta 대조를 실제로 돌린 뒤에만 갱신할 것.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5" t="inlineStr">
        <is>
          <t>※ 여덟 풋프린트 모두 이 세션에서는 빌드하지 못했습니다 (Allegro/extracta 부재). 스크립트만 작성된 상태입니다.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22" customWidth="1" min="4" max="4"/>
    <col width="42" customWidth="1" min="5" max="5"/>
    <col width="20" customWidth="1" min="6" max="6"/>
    <col width="30" customWidth="1" min="7" max="7"/>
    <col width="7" customWidth="1" min="8" max="8"/>
    <col width="14" customWidth="1" min="9" max="9"/>
    <col width="30" customWidth="1" min="10" max="10"/>
    <col width="20" customWidth="1" min="11" max="11"/>
    <col width="12" customWidth="1" min="12" max="12"/>
    <col width="40" customWidth="1" min="13" max="13"/>
  </cols>
  <sheetData>
    <row r="1">
      <c r="A1" s="6" t="inlineStr">
        <is>
          <t>V2000  부품 / 풋프린트 관리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>
      <c r="A2" s="7" t="inlineStr">
        <is>
          <t>보드 리비전</t>
        </is>
      </c>
      <c r="B2" s="8" t="inlineStr">
        <is>
          <t>V2000</t>
        </is>
      </c>
      <c r="C2" s="4" t="n"/>
      <c r="D2" s="7" t="inlineStr">
        <is>
          <t>등록 부품 수</t>
        </is>
      </c>
      <c r="E2" s="9">
        <f>COUNTA(A6:A1000)</f>
        <v/>
      </c>
      <c r="F2" s="4" t="n"/>
      <c r="G2" s="7" t="inlineStr">
        <is>
          <t>검증 완료</t>
        </is>
      </c>
      <c r="H2" s="9">
        <f>COUNTIF(L6:L1000,"검증완료")</f>
        <v/>
      </c>
      <c r="I2" s="4" t="n"/>
      <c r="J2" s="7" t="inlineStr">
        <is>
          <t>미검증</t>
        </is>
      </c>
      <c r="K2" s="9">
        <f>E2-H2</f>
        <v/>
      </c>
      <c r="L2" s="4" t="n"/>
      <c r="M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1" t="inlineStr">
        <is>
          <t>No.</t>
        </is>
      </c>
      <c r="B5" s="1" t="inlineStr">
        <is>
          <t>부품번호 (MPN)</t>
        </is>
      </c>
      <c r="C5" s="1" t="inlineStr">
        <is>
          <t>제조사</t>
        </is>
      </c>
      <c r="D5" s="1" t="inlineStr">
        <is>
          <t>분류</t>
        </is>
      </c>
      <c r="E5" s="1" t="inlineStr">
        <is>
          <t>값 / 정격</t>
        </is>
      </c>
      <c r="F5" s="1" t="inlineStr">
        <is>
          <t>패키지</t>
        </is>
      </c>
      <c r="G5" s="1" t="inlineStr">
        <is>
          <t>풋프린트</t>
        </is>
      </c>
      <c r="H5" s="1" t="inlineStr">
        <is>
          <t>핀수</t>
        </is>
      </c>
      <c r="I5" s="1" t="inlineStr">
        <is>
          <t>벤더 권장랜드</t>
        </is>
      </c>
      <c r="J5" s="1" t="inlineStr">
        <is>
          <t>데이터시트</t>
        </is>
      </c>
      <c r="K5" s="1" t="inlineStr">
        <is>
          <t>빌드 스크립트</t>
        </is>
      </c>
      <c r="L5" s="1" t="inlineStr">
        <is>
          <t>검증상태</t>
        </is>
      </c>
      <c r="M5" s="1" t="inlineStr">
        <is>
          <t>비고</t>
        </is>
      </c>
    </row>
    <row r="6" ht="42" customHeight="1">
      <c r="A6" s="10">
        <f>ROW()-5</f>
        <v/>
      </c>
      <c r="B6" s="2" t="inlineStr">
        <is>
          <t>SLB9670VQ2.0</t>
        </is>
      </c>
      <c r="C6" s="2" t="inlineStr">
        <is>
          <t>Infineon</t>
        </is>
      </c>
      <c r="D6" s="2" t="inlineStr">
        <is>
          <t>TPM 2.0 보안칩</t>
        </is>
      </c>
      <c r="E6" s="2" t="inlineStr">
        <is>
          <t>TPM2.0, SPI ≤43MHz, CC EAL4+, 노출패드=GND</t>
        </is>
      </c>
      <c r="F6" s="2" t="inlineStr">
        <is>
          <t>PG-VQFN-32-13</t>
        </is>
      </c>
      <c r="G6" s="2" t="inlineStr">
        <is>
          <t>QFN50P500X500X90-33M</t>
        </is>
      </c>
      <c r="H6" s="11">
        <f>IFERROR(INDEX(Footprints!$D$2:$D$1000,MATCH($G6,Footprints!$A$2:$A$1000,0)),"")</f>
        <v/>
      </c>
      <c r="I6" s="2" t="inlineStr">
        <is>
          <t>있음</t>
        </is>
      </c>
      <c r="J6" s="2" t="inlineStr">
        <is>
          <t>SLB9670VQ2.0 DS Rev1.5 (2024-08-07)</t>
        </is>
      </c>
      <c r="K6" s="2" t="inlineStr">
        <is>
          <t>buildqfn32.il</t>
        </is>
      </c>
      <c r="L6" s="2" t="inlineStr">
        <is>
          <t>미검증</t>
        </is>
      </c>
      <c r="M6" s="2" t="inlineStr">
        <is>
          <t>핀1=NCI/VDD, 핀2/9/23/32=GND, 노출패드는 GND 외부 연결 필수</t>
        </is>
      </c>
    </row>
    <row r="7" ht="42" customHeight="1">
      <c r="A7" s="10">
        <f>ROW()-5</f>
        <v/>
      </c>
      <c r="B7" s="2" t="inlineStr">
        <is>
          <t>63ZLJ2700M18X40</t>
        </is>
      </c>
      <c r="C7" s="2" t="inlineStr">
        <is>
          <t>Rubycon</t>
        </is>
      </c>
      <c r="D7" s="2" t="inlineStr">
        <is>
          <t>알루미늄 전해 (래디얼)</t>
        </is>
      </c>
      <c r="E7" s="2" t="inlineStr">
        <is>
          <t>2700µF ±20% / 63Vdc / -40~+105°C / 리플 4300mArms / Z 0.015Ω / 10000h</t>
        </is>
      </c>
      <c r="F7" s="2" t="inlineStr">
        <is>
          <t>φ18 × 40, F=7.5</t>
        </is>
      </c>
      <c r="G7" s="2" t="inlineStr">
        <is>
          <t>CAPRR750W80D185H420</t>
        </is>
      </c>
      <c r="H7" s="11">
        <f>IFERROR(INDEX(Footprints!$D$2:$D$1000,MATCH($G7,Footprints!$A$2:$A$1000,0)),"")</f>
        <v/>
      </c>
      <c r="I7" s="2" t="inlineStr">
        <is>
          <t>없음</t>
        </is>
      </c>
      <c r="J7" s="2" t="inlineStr">
        <is>
          <t>Rubycon ZLJ series DS</t>
        </is>
      </c>
      <c r="K7" s="2" t="inlineStr">
        <is>
          <t>buildcaprr750.il</t>
        </is>
      </c>
      <c r="L7" s="2" t="inlineStr">
        <is>
          <t>미검증</t>
        </is>
      </c>
      <c r="M7" s="2" t="inlineStr">
        <is>
          <t>극성품. 핀1=(+) 사각패드, 핀2=(−). 최대 외형 φ18.5 × 42.0 확보 필요</t>
        </is>
      </c>
    </row>
    <row r="8" ht="42" customHeight="1">
      <c r="A8" s="10">
        <f>ROW()-5</f>
        <v/>
      </c>
      <c r="B8" s="2" t="inlineStr">
        <is>
          <t>BAS100CS-AU</t>
        </is>
      </c>
      <c r="C8" s="2" t="inlineStr">
        <is>
          <t>Panjit</t>
        </is>
      </c>
      <c r="D8" s="2" t="inlineStr">
        <is>
          <t>쇼트키 다이오드 (SMD)</t>
        </is>
      </c>
      <c r="E8" s="2" t="inlineStr">
        <is>
          <t>100V / 0.5A / IFSM 5.5A / Cj 21pF / Tj -55~150°C / AEC-Q101</t>
        </is>
      </c>
      <c r="F8" s="2" t="inlineStr">
        <is>
          <t>SOD-323</t>
        </is>
      </c>
      <c r="G8" s="2" t="inlineStr">
        <is>
          <t>DIOM2014X90M</t>
        </is>
      </c>
      <c r="H8" s="11">
        <f>IFERROR(INDEX(Footprints!$D$2:$D$1000,MATCH($G8,Footprints!$A$2:$A$1000,0)),"")</f>
        <v/>
      </c>
      <c r="I8" s="2" t="inlineStr">
        <is>
          <t>있음</t>
        </is>
      </c>
      <c r="J8" s="2" t="inlineStr">
        <is>
          <t>BAS100CS-AU-REV.00S (2017-11-01)</t>
        </is>
      </c>
      <c r="K8" s="2" t="inlineStr">
        <is>
          <t>builddiom2014.il</t>
        </is>
      </c>
      <c r="L8" s="2" t="inlineStr">
        <is>
          <t>미검증</t>
        </is>
      </c>
      <c r="M8" s="2" t="inlineStr">
        <is>
          <t>극성품. 핀1=K(띠), 핀2=A — pstchip.dat 로 극성 배정 확인 필요. RθJA 650°C/W</t>
        </is>
      </c>
    </row>
    <row r="9" ht="42" customHeight="1">
      <c r="A9" s="10">
        <f>ROW()-5</f>
        <v/>
      </c>
      <c r="B9" s="2" t="inlineStr">
        <is>
          <t>ECST1V0805-1100-R</t>
        </is>
      </c>
      <c r="C9" s="2" t="inlineStr">
        <is>
          <t>Eaton</t>
        </is>
      </c>
      <c r="D9" s="2" t="inlineStr">
        <is>
          <t>SMT 전류센스 트랜스포머</t>
        </is>
      </c>
      <c r="E9" s="2" t="inlineStr">
        <is>
          <t>100:1 / Lsec 2000µH min @100kHz / DCR sec 5.5Ω max / pri 0.7mΩ / Hi-pot 500Vac / 10A / 50kHz~1MHz / -40~+125°C</t>
        </is>
      </c>
      <c r="F9" s="2" t="inlineStr">
        <is>
          <t>EE5.0 SMT 8핀</t>
        </is>
      </c>
      <c r="G9" s="2" t="inlineStr">
        <is>
          <t>INDM8084X550-8M</t>
        </is>
      </c>
      <c r="H9" s="11">
        <f>IFERROR(INDEX(Footprints!$D$2:$D$1000,MATCH($G9,Footprints!$A$2:$A$1000,0)),"")</f>
        <v/>
      </c>
      <c r="I9" s="2" t="inlineStr">
        <is>
          <t>있음</t>
        </is>
      </c>
      <c r="J9" s="2" t="inlineStr">
        <is>
          <t>Eaton ELX1187 (2022-04)</t>
        </is>
      </c>
      <c r="K9" s="2" t="inlineStr">
        <is>
          <t>buildindm8084.il</t>
        </is>
      </c>
      <c r="L9" s="2" t="inlineStr">
        <is>
          <t>미검증</t>
        </is>
      </c>
      <c r="M9" s="2" t="inlineStr">
        <is>
          <t>Pri=8(dot)-7(대형탭), Sec=1(dot)-3, 2/4/5/6=NC. 평면도 TOP/BOTTOM 미확정 — 뒤집히면 1↔3, 7↔8 극성 반전. 부품 아래 배선·비아 금지(데이터시트)</t>
        </is>
      </c>
    </row>
    <row r="10" ht="42" customHeight="1">
      <c r="A10" s="10">
        <f>ROW()-5</f>
        <v/>
      </c>
      <c r="B10" s="2" t="inlineStr">
        <is>
          <t>LT8304ES8E#PBF</t>
        </is>
      </c>
      <c r="C10" s="2" t="inlineStr">
        <is>
          <t>Analog Devices (Linear)</t>
        </is>
      </c>
      <c r="D10" s="2" t="inlineStr">
        <is>
          <t>절연 플라이백 컨버터</t>
        </is>
      </c>
      <c r="E10" s="2" t="inlineStr">
        <is>
          <t>3~100Vin / 150V 2A DMOS / 24W / no-opto 절연 / θJA 33°C/W / Tj -40~+125°C</t>
        </is>
      </c>
      <c r="F10" s="2" t="inlineStr">
        <is>
          <t>S8E (SOIC-8 노출패드)</t>
        </is>
      </c>
      <c r="G10" s="2" t="inlineStr">
        <is>
          <t>SOIC127P600X175-9M</t>
        </is>
      </c>
      <c r="H10" s="11">
        <f>IFERROR(INDEX(Footprints!$D$2:$D$1000,MATCH($G10,Footprints!$A$2:$A$1000,0)),"")</f>
        <v/>
      </c>
      <c r="I10" s="2" t="inlineStr">
        <is>
          <t>있음</t>
        </is>
      </c>
      <c r="J10" s="2" t="inlineStr">
        <is>
          <t>LT8304/LT8304-1 DS 8304fa</t>
        </is>
      </c>
      <c r="K10" s="2" t="inlineStr">
        <is>
          <t>buildsoic127.il</t>
        </is>
      </c>
      <c r="L10" s="2" t="inlineStr">
        <is>
          <t>미검증</t>
        </is>
      </c>
      <c r="M10" s="2" t="inlineStr">
        <is>
          <t>핀9=노출패드=GND, 반드시 납땜. 1 TC/2 RREF/3 RFB/4 SW/5 GND/6 VIN/7 INTVCC/8 EN·UVLO. LT8304-1 도 동일 패키지</t>
        </is>
      </c>
    </row>
    <row r="11" ht="42" customHeight="1">
      <c r="A11" s="10">
        <f>ROW()-5</f>
        <v/>
      </c>
      <c r="B11" s="2" t="inlineStr">
        <is>
          <t>2EDN7524RXTMA1</t>
        </is>
      </c>
      <c r="C11" s="2" t="inlineStr">
        <is>
          <t>Infineon</t>
        </is>
      </c>
      <c r="D11" s="2" t="inlineStr">
        <is>
          <t>듀얼 게이트 드라이버</t>
        </is>
      </c>
      <c r="E11" s="2" t="inlineStr">
        <is>
          <t>2ch x 5A / 4.5~20V / UVLO 4.2V / 비반전 / 전파지연 17ns / RthJA 64 K/W</t>
        </is>
      </c>
      <c r="F11" s="2" t="inlineStr">
        <is>
          <t>PG-TSSOP-8 (노출다이패드)</t>
        </is>
      </c>
      <c r="G11" s="2" t="inlineStr">
        <is>
          <t>SOP65P490X104-9M</t>
        </is>
      </c>
      <c r="H11" s="11">
        <f>IFERROR(INDEX(Footprints!$D$2:$D$1000,MATCH($G11,Footprints!$A$2:$A$1000,0)),"")</f>
        <v/>
      </c>
      <c r="I11" s="2" t="inlineStr">
        <is>
          <t>있음</t>
        </is>
      </c>
      <c r="J11" s="2" t="inlineStr">
        <is>
          <t>2EDN752x/2EDN852x DS Rev 2.7 (2025-03-18)</t>
        </is>
      </c>
      <c r="K11" s="2" t="inlineStr">
        <is>
          <t>buildsop65p490.il</t>
        </is>
      </c>
      <c r="L11" s="2" t="inlineStr">
        <is>
          <t>미검증</t>
        </is>
      </c>
      <c r="M11" s="2" t="inlineStr">
        <is>
          <t>핀9=노출다이패드, GND(핀3)에 연결 필수. 1 ENA/2 INA/3 GND/4 INB/5 OUTB/6 VDD/7 OUTA/8 ENB. 마스크 웹 0.15 — 팹 전역 마스크 확장 금지</t>
        </is>
      </c>
    </row>
    <row r="12" ht="42" customHeight="1">
      <c r="A12" s="10">
        <f>ROW()-5</f>
        <v/>
      </c>
      <c r="B12" s="2" t="inlineStr">
        <is>
          <t>BLM18SP300SN1D</t>
        </is>
      </c>
      <c r="C12" s="2" t="inlineStr">
        <is>
          <t>Murata</t>
        </is>
      </c>
      <c r="D12" s="2" t="inlineStr">
        <is>
          <t>칩 페라이트 비드</t>
        </is>
      </c>
      <c r="E12" s="2" t="inlineStr">
        <is>
          <t>30±10Ω @100MHz / 정격 6000mA(85°C)·4000mA(125°C) / DCR 0.008Ω max / -55~+125°C / DC 전원라인용</t>
        </is>
      </c>
      <c r="F12" s="2" t="inlineStr">
        <is>
          <t>1608 메트릭 (0603)</t>
        </is>
      </c>
      <c r="G12" s="2" t="inlineStr">
        <is>
          <t>INDC1608X95M</t>
        </is>
      </c>
      <c r="H12" s="11">
        <f>IFERROR(INDEX(Footprints!$D$2:$D$1000,MATCH($G12,Footprints!$A$2:$A$1000,0)),"")</f>
        <v/>
      </c>
      <c r="I12" s="2" t="inlineStr">
        <is>
          <t>있음</t>
        </is>
      </c>
      <c r="J12" s="2" t="inlineStr">
        <is>
          <t>Murata JENF243A_0003AM-01 (Reference Only)</t>
        </is>
      </c>
      <c r="K12" s="2" t="inlineStr">
        <is>
          <t>buildindc1608.il</t>
        </is>
      </c>
      <c r="L12" s="2" t="inlineStr">
        <is>
          <t>미검증</t>
        </is>
      </c>
      <c r="M12" s="2" t="inlineStr">
        <is>
          <t>무극성. 정격전류가 커서 연결 패턴 폭 d 요구: 35µm 동박에서 6.4mm (18µm·70µm은 규정 없음) — 레이아웃에서 확보할 것</t>
        </is>
      </c>
    </row>
    <row r="13" ht="42" customHeight="1">
      <c r="A13" s="10">
        <f>ROW()-5</f>
        <v/>
      </c>
      <c r="B13" s="2" t="inlineStr">
        <is>
          <t>TLV7041DBVR</t>
        </is>
      </c>
      <c r="C13" s="2" t="inlineStr">
        <is>
          <t>Texas Instruments</t>
        </is>
      </c>
      <c r="D13" s="2" t="inlineStr">
        <is>
          <t>나노파워 비교기 (싱글)</t>
        </is>
      </c>
      <c r="E13" s="2" t="inlineStr">
        <is>
          <t>1.6~6.5V / Iq 315nA / 오픈드레인 출력(704x) / 전파지연 3µs / 레일투레일 입력 / -40~+125°C</t>
        </is>
      </c>
      <c r="F13" s="2" t="inlineStr">
        <is>
          <t>SOT-23-5 (DBV0005A)</t>
        </is>
      </c>
      <c r="G13" s="2" t="inlineStr">
        <is>
          <t>SOT95P280X145-5M</t>
        </is>
      </c>
      <c r="H13" s="11">
        <f>IFERROR(INDEX(Footprints!$D$2:$D$1000,MATCH($G13,Footprints!$A$2:$A$1000,0)),"")</f>
        <v/>
      </c>
      <c r="I13" s="2" t="inlineStr">
        <is>
          <t>있음</t>
        </is>
      </c>
      <c r="J13" s="2" t="inlineStr">
        <is>
          <t>TI SLVSE13J (2024-11 rev)</t>
        </is>
      </c>
      <c r="K13" s="2" t="inlineStr">
        <is>
          <t>buildsot95p280.il</t>
        </is>
      </c>
      <c r="L13" s="2" t="inlineStr">
        <is>
          <t>미검증</t>
        </is>
      </c>
      <c r="M13" s="2" t="inlineStr">
        <is>
          <t>1 OUT/2 V-/3 IN+/4 IN-/5 V+ (표준 'North West' 핀아웃). 같은 SOT-23-5 에 7041S·7041L 핀아웃 변형이 있으나 랜드는 동일 — 풋프린트는 1개, 구분은 심볼에서</t>
        </is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12" t="inlineStr">
        <is>
          <t>예시)  GRM188R71C104KA01D</t>
        </is>
      </c>
      <c r="C15" s="12" t="inlineStr">
        <is>
          <t>Murata</t>
        </is>
      </c>
      <c r="D15" s="12" t="inlineStr">
        <is>
          <t>MLCC</t>
        </is>
      </c>
      <c r="E15" s="12" t="inlineStr">
        <is>
          <t>100nF ±10% / 16V / X7R</t>
        </is>
      </c>
      <c r="F15" s="12" t="inlineStr">
        <is>
          <t>0603</t>
        </is>
      </c>
      <c r="G15" s="12" t="inlineStr">
        <is>
          <t>CAPC1608X90N</t>
        </is>
      </c>
      <c r="H15" s="4" t="n"/>
      <c r="I15" s="4" t="n"/>
      <c r="J15" s="4" t="n"/>
      <c r="K15" s="4" t="n"/>
      <c r="L15" s="4" t="n"/>
      <c r="M15" s="12" t="inlineStr">
        <is>
          <t>입력 형식 예시 행 (집계에서 제외됨). 실제 등록은 6행부터, 이 행은 지워도 됩니다. 검증상태 칸에는 미검증/빌드완료/검증완료 중 하나를 적습니다.</t>
        </is>
      </c>
    </row>
  </sheetData>
  <autoFilter ref="A5: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6" t="inlineStr">
        <is>
          <t>표기 규칙 / 사용법</t>
        </is>
      </c>
      <c r="B1" s="4" t="n"/>
    </row>
    <row r="2">
      <c r="A2" s="4" t="n"/>
      <c r="B2" s="4" t="n"/>
    </row>
    <row r="3">
      <c r="A3" s="7" t="inlineStr">
        <is>
          <t>파란 글씨</t>
        </is>
      </c>
      <c r="B3" s="13" t="inlineStr">
        <is>
          <t>직접 입력하는 값. 여기만 고치면 됩니다.</t>
        </is>
      </c>
    </row>
    <row r="4">
      <c r="A4" s="7" t="inlineStr">
        <is>
          <t>검은 글씨</t>
        </is>
      </c>
      <c r="B4" s="13" t="inlineStr">
        <is>
          <t>수식. 건드리지 마세요.</t>
        </is>
      </c>
    </row>
    <row r="5">
      <c r="A5" s="7" t="inlineStr">
        <is>
          <t>초록 글씨</t>
        </is>
      </c>
      <c r="B5" s="13" t="inlineStr">
        <is>
          <t>다른 시트 참조 (V2000!핀수 는 Footprints 탭에서 자동 조회).</t>
        </is>
      </c>
    </row>
    <row r="6">
      <c r="A6" s="7" t="inlineStr">
        <is>
          <t>노란 배경</t>
        </is>
      </c>
      <c r="B6" s="13" t="inlineStr">
        <is>
          <t>실제 검증을 돌린 뒤 채워야 하는 칸 (DRC / 검증상태).</t>
        </is>
      </c>
    </row>
    <row r="7">
      <c r="A7" s="13" t="inlineStr"/>
      <c r="B7" s="13" t="inlineStr"/>
    </row>
    <row r="8">
      <c r="A8" s="7" t="inlineStr">
        <is>
          <t>탭 구성</t>
        </is>
      </c>
      <c r="B8" s="13" t="inlineStr">
        <is>
          <t>Footprints = 풋프린트 마스터(부품과 무관하게 1행 1풋프린트)</t>
        </is>
      </c>
    </row>
    <row r="9">
      <c r="A9" s="13" t="inlineStr"/>
      <c r="B9" s="13" t="inlineStr">
        <is>
          <t>V2000 = 보드 리비전별 부품 목록. 보드가 늘어나면 이 탭을 복제해서 쓰세요.</t>
        </is>
      </c>
    </row>
    <row r="10">
      <c r="A10" s="13" t="inlineStr"/>
      <c r="B10" s="13" t="inlineStr"/>
    </row>
    <row r="11">
      <c r="A11" s="7" t="inlineStr">
        <is>
          <t>검증상태 값</t>
        </is>
      </c>
      <c r="B11" s="13" t="inlineStr">
        <is>
          <t>미검증 / 빌드완료 / 검증완료  — 아래 5개를 전부 통과해야 '검증완료'</t>
        </is>
      </c>
    </row>
    <row r="12">
      <c r="A12" s="13" t="inlineStr">
        <is>
          <t xml:space="preserve">  1</t>
        </is>
      </c>
      <c r="B12" s="13" t="inlineStr">
        <is>
          <t>extracta COMPOSITE_PAD: 핀번호·좌표·패드크기가 expected.txt 와 일치</t>
        </is>
      </c>
    </row>
    <row r="13">
      <c r="A13" s="13" t="inlineStr">
        <is>
          <t xml:space="preserve">  2</t>
        </is>
      </c>
      <c r="B13" s="13" t="inlineStr">
        <is>
          <t>extracta GEOMETRY: 레이어별 레코드 수 / 실크·어셈블리 좌표</t>
        </is>
      </c>
    </row>
    <row r="14">
      <c r="A14" s="13" t="inlineStr">
        <is>
          <t xml:space="preserve">  3</t>
        </is>
      </c>
      <c r="B14" s="13" t="inlineStr">
        <is>
          <t>axlDRCUpdate(t) == 0  (심볼에 저장된 값이 아니라 강제 실행값)</t>
        </is>
      </c>
    </row>
    <row r="15">
      <c r="A15" s="13" t="inlineStr">
        <is>
          <t xml:space="preserve">  4</t>
        </is>
      </c>
      <c r="B15" s="13" t="inlineStr">
        <is>
          <t>핀 수 == pstchip.dat 디바이스 핀 수</t>
        </is>
      </c>
    </row>
    <row r="16">
      <c r="A16" s="13" t="inlineStr">
        <is>
          <t xml:space="preserve">  5</t>
        </is>
      </c>
      <c r="B16" s="13" t="inlineStr">
        <is>
          <t>토 노출 동판 &gt;= 0.5</t>
        </is>
      </c>
    </row>
    <row r="17">
      <c r="A17" s="13" t="inlineStr"/>
      <c r="B17" s="13" t="inlineStr"/>
    </row>
    <row r="18">
      <c r="A18" s="14" t="inlineStr">
        <is>
          <t>주의</t>
        </is>
      </c>
      <c r="B18" s="15" t="inlineStr">
        <is>
          <t>이 파일은 기존 관리 대장이 없어 새로 만든 것입니다.</t>
        </is>
      </c>
    </row>
    <row r="19">
      <c r="A19" s="13" t="inlineStr"/>
      <c r="B19" s="15" t="inlineStr">
        <is>
          <t>기존 엑셀이 있으면 그 쪽 열 구성에 맞춰 옮겨야 합니다 — 원본을 올려 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2026-09-19T05:43:42Z</dcterms:created>
  <dcterms:modified xsi:type="dcterms:W3CDTF">2026-09-19T05:43:42Z</dcterms:modified>
</cp:coreProperties>
</file>