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 ht="46" customHeight="1">
      <c r="A5" s="2" t="inlineStr">
        <is>
          <t>INDM8084X550-8M</t>
        </is>
      </c>
      <c r="B5" s="2" t="inlineStr">
        <is>
          <t>SMD</t>
        </is>
      </c>
      <c r="C5" s="2" t="inlineStr">
        <is>
          <t>Eaton EE5.0 SMT (8핀)</t>
        </is>
      </c>
      <c r="D5" s="2" t="n">
        <v>8</v>
      </c>
      <c r="E5" s="2" t="n">
        <v>1.85</v>
      </c>
      <c r="F5" s="2" t="inlineStr">
        <is>
          <t>소형 1.20 x 1.89 / 탭 3.15 x 3.00</t>
        </is>
      </c>
      <c r="G5" s="2" t="inlineStr">
        <is>
          <t>—</t>
        </is>
      </c>
      <c r="H5" s="2" t="inlineStr">
        <is>
          <t>8.00 x 8.38 x 5.50max</t>
        </is>
      </c>
      <c r="I5" s="2" t="inlineStr">
        <is>
          <t>x ±4.60 / y ±4.79</t>
        </is>
      </c>
      <c r="J5" s="2" t="inlineStr">
        <is>
          <t>벤더랜드(소형 1.2x1.6, 탭 2.7x3.0)만큼만 오프셋</t>
        </is>
      </c>
      <c r="K5" s="2" t="inlineStr">
        <is>
          <t>있음</t>
        </is>
      </c>
      <c r="L5" s="2" t="inlineStr">
        <is>
          <t>규칙2로 토 0.50 연장(소형 1.6→1.89, 탭 2.7→3.15). 규칙4 이탈 — 페이스트는 벤더량 유지. TOP/BOTTOM VIEW 미확정</t>
        </is>
      </c>
      <c r="M5" s="3" t="inlineStr">
        <is>
          <t>미실행</t>
        </is>
      </c>
      <c r="N5" s="3" t="inlineStr">
        <is>
          <t>미검증</t>
        </is>
      </c>
      <c r="O5" s="2" t="inlineStr">
        <is>
          <t>buildindm8084.il</t>
        </is>
      </c>
      <c r="P5" s="2" t="inlineStr">
        <is>
          <t>Eaton ELX1187 p.2 Mechanical / Recommended PCB Layout</t>
        </is>
      </c>
    </row>
    <row r="6" ht="46" customHeight="1">
      <c r="A6" s="2" t="inlineStr">
        <is>
          <t>SOIC127P600X175-9M</t>
        </is>
      </c>
      <c r="B6" s="2" t="inlineStr">
        <is>
          <t>SMD</t>
        </is>
      </c>
      <c r="C6" s="2" t="inlineStr">
        <is>
          <t>S8E (SOIC-8 .150" 노출패드)</t>
        </is>
      </c>
      <c r="D6" s="2" t="n">
        <v>9</v>
      </c>
      <c r="E6" s="2" t="n">
        <v>1.27</v>
      </c>
      <c r="F6" s="2" t="inlineStr">
        <is>
          <t>리드 1.57 x 0.76 / 노출패드 2.26 x 2.99</t>
        </is>
      </c>
      <c r="G6" s="2" t="inlineStr">
        <is>
          <t>—</t>
        </is>
      </c>
      <c r="H6" s="2" t="inlineStr">
        <is>
          <t>3.988 x 5.004 x 1.752max</t>
        </is>
      </c>
      <c r="I6" s="2" t="inlineStr">
        <is>
          <t>x ±3.70 / y ±2.602</t>
        </is>
      </c>
      <c r="J6" s="2" t="inlineStr">
        <is>
          <t>리드=벤더랜드 1.143 오프셋 / 노출패드=2x3 윈도우 70.0%</t>
        </is>
      </c>
      <c r="K6" s="2" t="inlineStr">
        <is>
          <t>있음</t>
        </is>
      </c>
      <c r="L6" s="2" t="inlineStr">
        <is>
          <t>규칙2로 토 0.50 연장(벤더 1.143→1.57). 규칙4 이탈 — 페이스트는 벤더량 유지. 방향은 p.2 TOP VIEW 기준(p.26 기구도면과 90도 다름)</t>
        </is>
      </c>
      <c r="M6" s="3" t="inlineStr">
        <is>
          <t>미실행</t>
        </is>
      </c>
      <c r="N6" s="3" t="inlineStr">
        <is>
          <t>미검증</t>
        </is>
      </c>
      <c r="O6" s="2" t="inlineStr">
        <is>
          <t>buildsoic127.il</t>
        </is>
      </c>
      <c r="P6" s="2" t="inlineStr">
        <is>
          <t>LT8304 DS 8304fa p.2 Pin Config / p.26 Package Description</t>
        </is>
      </c>
    </row>
    <row r="7" ht="46" customHeight="1">
      <c r="A7" s="2" t="inlineStr">
        <is>
          <t>SOP65P490X104-9M</t>
        </is>
      </c>
      <c r="B7" s="2" t="inlineStr">
        <is>
          <t>SMD</t>
        </is>
      </c>
      <c r="C7" s="2" t="inlineStr">
        <is>
          <t>PG-TSSOP-8 (노출다이패드)</t>
        </is>
      </c>
      <c r="D7" s="2" t="n">
        <v>9</v>
      </c>
      <c r="E7" s="2" t="n">
        <v>0.65</v>
      </c>
      <c r="F7" s="2" t="inlineStr">
        <is>
          <t>리드 1.45 x 0.40 / 노출패드 1.75 x 2.05</t>
        </is>
      </c>
      <c r="G7" s="2" t="inlineStr">
        <is>
          <t>—</t>
        </is>
      </c>
      <c r="H7" s="2" t="inlineStr">
        <is>
          <t>3.1 x 3.1 x 1.04max</t>
        </is>
      </c>
      <c r="I7" s="2" t="inlineStr">
        <is>
          <t>x ±3.10 / y ±1.65</t>
        </is>
      </c>
      <c r="J7" s="2" t="inlineStr">
        <is>
          <t>리드=벤더 스텐실 1.3 오프셋 / 노출패드=2x2 창 79.9%</t>
        </is>
      </c>
      <c r="K7" s="2" t="inlineStr">
        <is>
          <t>있음</t>
        </is>
      </c>
      <c r="L7" s="2" t="inlineStr">
        <is>
          <t>규칙2로 토 0.15 연장(벤더 1.3→1.45). 마스크는 규칙6에 따라 데이터시트값(동판+0.05/변) 우선 → 마스크 웹 0.15. 방향은 p.7 Top View 기준</t>
        </is>
      </c>
      <c r="M7" s="3" t="inlineStr">
        <is>
          <t>미실행</t>
        </is>
      </c>
      <c r="N7" s="3" t="inlineStr">
        <is>
          <t>미검증</t>
        </is>
      </c>
      <c r="O7" s="2" t="inlineStr">
        <is>
          <t>buildsop65p490.il</t>
        </is>
      </c>
      <c r="P7" s="2" t="inlineStr">
        <is>
          <t>Infineon 2EDN752x DS Rev2.7 p.7 Pin Config / p.27 outline / p.28 footprint</t>
        </is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5" t="inlineStr">
        <is>
          <t>※ DRC / 검증상태는 axlDRCUpdate(t) 와 extracta 대조를 실제로 돌린 뒤에만 갱신할 것.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5" t="inlineStr">
        <is>
          <t>※ 여섯 풋프린트 모두 이 세션에서는 빌드하지 못했습니다 (Allegro/extracta 부재). 스크립트만 작성된 상태입니다.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 ht="42" customHeight="1">
      <c r="A9" s="10">
        <f>ROW()-5</f>
        <v/>
      </c>
      <c r="B9" s="2" t="inlineStr">
        <is>
          <t>ECST1V0805-1100-R</t>
        </is>
      </c>
      <c r="C9" s="2" t="inlineStr">
        <is>
          <t>Eaton</t>
        </is>
      </c>
      <c r="D9" s="2" t="inlineStr">
        <is>
          <t>SMT 전류센스 트랜스포머</t>
        </is>
      </c>
      <c r="E9" s="2" t="inlineStr">
        <is>
          <t>100:1 / Lsec 2000µH min @100kHz / DCR sec 5.5Ω max / pri 0.7mΩ / Hi-pot 500Vac / 10A / 50kHz~1MHz / -40~+125°C</t>
        </is>
      </c>
      <c r="F9" s="2" t="inlineStr">
        <is>
          <t>EE5.0 SMT 8핀</t>
        </is>
      </c>
      <c r="G9" s="2" t="inlineStr">
        <is>
          <t>INDM8084X550-8M</t>
        </is>
      </c>
      <c r="H9" s="11">
        <f>IFERROR(INDEX(Footprints!$D$2:$D$1000,MATCH($G9,Footprints!$A$2:$A$1000,0)),"")</f>
        <v/>
      </c>
      <c r="I9" s="2" t="inlineStr">
        <is>
          <t>있음</t>
        </is>
      </c>
      <c r="J9" s="2" t="inlineStr">
        <is>
          <t>Eaton ELX1187 (2022-04)</t>
        </is>
      </c>
      <c r="K9" s="2" t="inlineStr">
        <is>
          <t>buildindm8084.il</t>
        </is>
      </c>
      <c r="L9" s="2" t="inlineStr">
        <is>
          <t>미검증</t>
        </is>
      </c>
      <c r="M9" s="2" t="inlineStr">
        <is>
          <t>Pri=8(dot)-7(대형탭), Sec=1(dot)-3, 2/4/5/6=NC. 평면도 TOP/BOTTOM 미확정 — 뒤집히면 1↔3, 7↔8 극성 반전. 부품 아래 배선·비아 금지(데이터시트)</t>
        </is>
      </c>
    </row>
    <row r="10" ht="42" customHeight="1">
      <c r="A10" s="10">
        <f>ROW()-5</f>
        <v/>
      </c>
      <c r="B10" s="2" t="inlineStr">
        <is>
          <t>LT8304ES8E#PBF</t>
        </is>
      </c>
      <c r="C10" s="2" t="inlineStr">
        <is>
          <t>Analog Devices (Linear)</t>
        </is>
      </c>
      <c r="D10" s="2" t="inlineStr">
        <is>
          <t>절연 플라이백 컨버터</t>
        </is>
      </c>
      <c r="E10" s="2" t="inlineStr">
        <is>
          <t>3~100Vin / 150V 2A DMOS / 24W / no-opto 절연 / θJA 33°C/W / Tj -40~+125°C</t>
        </is>
      </c>
      <c r="F10" s="2" t="inlineStr">
        <is>
          <t>S8E (SOIC-8 노출패드)</t>
        </is>
      </c>
      <c r="G10" s="2" t="inlineStr">
        <is>
          <t>SOIC127P600X175-9M</t>
        </is>
      </c>
      <c r="H10" s="11">
        <f>IFERROR(INDEX(Footprints!$D$2:$D$1000,MATCH($G10,Footprints!$A$2:$A$1000,0)),"")</f>
        <v/>
      </c>
      <c r="I10" s="2" t="inlineStr">
        <is>
          <t>있음</t>
        </is>
      </c>
      <c r="J10" s="2" t="inlineStr">
        <is>
          <t>LT8304/LT8304-1 DS 8304fa</t>
        </is>
      </c>
      <c r="K10" s="2" t="inlineStr">
        <is>
          <t>buildsoic127.il</t>
        </is>
      </c>
      <c r="L10" s="2" t="inlineStr">
        <is>
          <t>미검증</t>
        </is>
      </c>
      <c r="M10" s="2" t="inlineStr">
        <is>
          <t>핀9=노출패드=GND, 반드시 납땜. 1 TC/2 RREF/3 RFB/4 SW/5 GND/6 VIN/7 INTVCC/8 EN·UVLO. LT8304-1 도 동일 패키지</t>
        </is>
      </c>
    </row>
    <row r="11" ht="42" customHeight="1">
      <c r="A11" s="10">
        <f>ROW()-5</f>
        <v/>
      </c>
      <c r="B11" s="2" t="inlineStr">
        <is>
          <t>2EDN7524RXTMA1</t>
        </is>
      </c>
      <c r="C11" s="2" t="inlineStr">
        <is>
          <t>Infineon</t>
        </is>
      </c>
      <c r="D11" s="2" t="inlineStr">
        <is>
          <t>듀얼 게이트 드라이버</t>
        </is>
      </c>
      <c r="E11" s="2" t="inlineStr">
        <is>
          <t>2ch x 5A / 4.5~20V / UVLO 4.2V / 비반전 / 전파지연 17ns / RthJA 64 K/W</t>
        </is>
      </c>
      <c r="F11" s="2" t="inlineStr">
        <is>
          <t>PG-TSSOP-8 (노출다이패드)</t>
        </is>
      </c>
      <c r="G11" s="2" t="inlineStr">
        <is>
          <t>SOP65P490X104-9M</t>
        </is>
      </c>
      <c r="H11" s="11">
        <f>IFERROR(INDEX(Footprints!$D$2:$D$1000,MATCH($G11,Footprints!$A$2:$A$1000,0)),"")</f>
        <v/>
      </c>
      <c r="I11" s="2" t="inlineStr">
        <is>
          <t>있음</t>
        </is>
      </c>
      <c r="J11" s="2" t="inlineStr">
        <is>
          <t>2EDN752x/2EDN852x DS Rev 2.7 (2025-03-18)</t>
        </is>
      </c>
      <c r="K11" s="2" t="inlineStr">
        <is>
          <t>buildsop65p490.il</t>
        </is>
      </c>
      <c r="L11" s="2" t="inlineStr">
        <is>
          <t>미검증</t>
        </is>
      </c>
      <c r="M11" s="2" t="inlineStr">
        <is>
          <t>핀9=노출다이패드, GND(핀3)에 연결 필수. 1 ENA/2 INA/3 GND/4 INB/5 OUTB/6 VDD/7 OUTA/8 ENB. 마스크 웹 0.15 — 팹 전역 마스크 확장 금지</t>
        </is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4" t="n"/>
      <c r="B13" s="12" t="inlineStr">
        <is>
          <t>예시)  GRM188R71C104KA01D</t>
        </is>
      </c>
      <c r="C13" s="12" t="inlineStr">
        <is>
          <t>Murata</t>
        </is>
      </c>
      <c r="D13" s="12" t="inlineStr">
        <is>
          <t>MLCC</t>
        </is>
      </c>
      <c r="E13" s="12" t="inlineStr">
        <is>
          <t>100nF ±10% / 16V / X7R</t>
        </is>
      </c>
      <c r="F13" s="12" t="inlineStr">
        <is>
          <t>0603</t>
        </is>
      </c>
      <c r="G13" s="12" t="inlineStr">
        <is>
          <t>CAPC1608X90N</t>
        </is>
      </c>
      <c r="H13" s="4" t="n"/>
      <c r="I13" s="4" t="n"/>
      <c r="J13" s="4" t="n"/>
      <c r="K13" s="4" t="n"/>
      <c r="L13" s="4" t="n"/>
      <c r="M13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2026-09-16T04:11:51Z</dcterms:created>
  <dcterms:modified xsi:type="dcterms:W3CDTF">2026-09-16T04:11:51Z</dcterms:modified>
</cp:coreProperties>
</file>